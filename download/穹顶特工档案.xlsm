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esktop\穹顶\"/>
    </mc:Choice>
  </mc:AlternateContent>
  <xr:revisionPtr revIDLastSave="0" documentId="13_ncr:1_{5119D1B4-43E9-4B4A-ACE9-BA76B0BD4F47}" xr6:coauthVersionLast="47" xr6:coauthVersionMax="47" xr10:uidLastSave="{00000000-0000-0000-0000-000000000000}"/>
  <bookViews>
    <workbookView xWindow="-110" yWindow="-110" windowWidth="25820" windowHeight="15500" xr2:uid="{A391AA3F-D3CA-470B-8B14-C05875B4A21C}"/>
  </bookViews>
  <sheets>
    <sheet name="表格主体" sheetId="6" r:id="rId1"/>
    <sheet name="评分表" sheetId="13" r:id="rId2"/>
    <sheet name="SKILLMAP" sheetId="12" r:id="rId3"/>
    <sheet name="阈值表" sheetId="2" r:id="rId4"/>
    <sheet name="data" sheetId="7" r:id="rId5"/>
    <sheet name="DATA1" sheetId="8" r:id="rId6"/>
    <sheet name="Sheet1" sheetId="14" r:id="rId7"/>
  </sheets>
  <definedNames>
    <definedName name="_xlpm.base" hidden="1" xlm="1">#NAME?</definedName>
    <definedName name="_xlpm.dept" hidden="1" xlm="1">#NAME?</definedName>
    <definedName name="_xlpm.dim" hidden="1" xlm="1">#NAME?</definedName>
    <definedName name="_xlpm.name" hidden="1" xlm="1">#NAME?</definedName>
    <definedName name="_xlpm.r" hidden="1" xlm="1">#NAME?</definedName>
    <definedName name="_xlpm.score" hidden="1" xlm="1">#NAME?</definedName>
    <definedName name="_xlpm.skill" hidden="1" xlm="1">#NAME?</definedName>
    <definedName name="_xlpm.t" hidden="1" xlm="1">#NAME?</definedName>
    <definedName name="_xlpm.val" hidden="1" xlm="1">#NAME?</definedName>
    <definedName name="_xlpm.w" hidden="1" xlm="1">#NAME?</definedName>
    <definedName name="二级列表">OFFSET(data!$B$2, MATCH(表格主体!$I$18,data!$A$2:$A$500,0)-1, 0, COUNTIF(data!$A$2:$A$500,表格主体!$I$18), 1)</definedName>
    <definedName name="三级列表">OFFSET(data!$C$2, MATCH(1, (data!$A$2:$A$500=表格主体!$I$18)* (data!$B$2:$B$500=表格主体!$K$18), 0)-1, 0, COUNTIFS(data!$A$2:$A$500,表格主体!$I$18, data!$B$2:$B$500,表格主体!$K$18), 1)</definedName>
    <definedName name="一级列表" comment="=OFFSET(隶属表)[#全部],1,0,COUNTA(隶属表[一级])-1,1)">data!$E$2:$E$9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7" l="1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Y14" i="6" a="1"/>
  <c r="Y14" i="6" s="1"/>
  <c r="X14" i="6" a="1"/>
  <c r="X14" i="6" s="1"/>
  <c r="W14" i="6" a="1"/>
  <c r="W14" i="6" s="1"/>
  <c r="V14" i="6" a="1"/>
  <c r="V14" i="6" s="1"/>
  <c r="U14" i="6" a="1"/>
  <c r="U14" i="6" s="1"/>
  <c r="T14" i="6" a="1"/>
  <c r="T14" i="6" s="1"/>
  <c r="S14" i="6" a="1"/>
  <c r="S14" i="6" s="1"/>
  <c r="R14" i="6" a="1"/>
  <c r="R14" i="6" s="1"/>
  <c r="J3" i="13" l="1" a="1"/>
  <c r="J3" i="13" s="1"/>
  <c r="J2" i="13" a="1"/>
  <c r="J2" i="13" s="1"/>
  <c r="J6" i="13" a="1"/>
  <c r="J6" i="13" s="1"/>
  <c r="J7" i="13" a="1"/>
  <c r="J7" i="13" s="1"/>
  <c r="J5" i="13" a="1"/>
  <c r="J5" i="13" s="1"/>
  <c r="J9" i="13" a="1"/>
  <c r="J9" i="13" s="1"/>
  <c r="J4" i="13" a="1"/>
  <c r="J4" i="13" s="1"/>
  <c r="J8" i="13" a="1"/>
  <c r="J8" i="13" s="1"/>
  <c r="T3" i="6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2" i="7"/>
  <c r="K36" i="6"/>
  <c r="AV68" i="6" s="1"/>
  <c r="K34" i="6"/>
  <c r="AV67" i="6" s="1"/>
  <c r="K32" i="6"/>
  <c r="AV66" i="6" s="1"/>
  <c r="K28" i="6"/>
  <c r="AV64" i="6" s="1"/>
  <c r="K24" i="6"/>
  <c r="AV62" i="6" s="1"/>
  <c r="K26" i="6"/>
  <c r="AV63" i="6" s="1"/>
  <c r="H51" i="6"/>
  <c r="AV73" i="6" s="1"/>
  <c r="I51" i="6"/>
  <c r="AV74" i="6" s="1"/>
  <c r="AV69" i="6"/>
  <c r="G51" i="6"/>
  <c r="AV72" i="6" s="1"/>
  <c r="K51" i="6"/>
  <c r="AV76" i="6" s="1"/>
  <c r="J51" i="6"/>
  <c r="AV75" i="6" s="1"/>
  <c r="K39" i="6"/>
  <c r="K30" i="6"/>
  <c r="G39" i="6" s="1"/>
  <c r="J16" i="6"/>
  <c r="R3" i="6" s="1"/>
  <c r="Y18" i="6" l="1" a="1"/>
  <c r="Y18" i="6" s="1"/>
  <c r="U18" i="6"/>
  <c r="R18" i="6" s="1"/>
  <c r="S3" i="6"/>
  <c r="E39" i="6"/>
  <c r="H39" i="6"/>
  <c r="J39" i="6"/>
  <c r="I39" i="6"/>
  <c r="AV65" i="6"/>
  <c r="F39" i="6"/>
  <c r="D3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 huew</author>
  </authors>
  <commentList>
    <comment ref="R1" authorId="0" shapeId="0" xr:uid="{5562EA11-69D8-4973-A7EA-6B89B39D5766}">
      <text>
        <r>
          <rPr>
            <b/>
            <sz val="9"/>
            <color indexed="81"/>
            <rFont val="宋体"/>
            <family val="3"/>
            <charset val="134"/>
          </rPr>
          <t xml:space="preserve">编号构成：[部门代码]-[职能代码]-[能力等级]-[序列号]
</t>
        </r>
      </text>
    </comment>
    <comment ref="V3" authorId="0" shapeId="0" xr:uid="{B18E5066-3369-4655-A14A-DA795A68A62D}">
      <text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6" authorId="0" shapeId="0" xr:uid="{990DA790-E859-4A42-81CF-B508CB2EC007}">
      <text>
        <r>
          <rPr>
            <sz val="9"/>
            <color indexed="81"/>
            <rFont val="宋体"/>
            <family val="3"/>
            <charset val="134"/>
          </rPr>
          <t xml:space="preserve">代号
</t>
        </r>
      </text>
    </comment>
    <comment ref="H6" authorId="0" shapeId="0" xr:uid="{27BC0DE2-581B-4F59-93A4-08FC65DE4E95}">
      <text>
        <r>
          <rPr>
            <b/>
            <sz val="9"/>
            <color indexed="81"/>
            <rFont val="宋体"/>
            <family val="3"/>
            <charset val="134"/>
          </rPr>
          <t>身高</t>
        </r>
      </text>
    </comment>
    <comment ref="L6" authorId="0" shapeId="0" xr:uid="{277324F8-6085-4CA3-A19C-46CC9E05EAA0}">
      <text>
        <r>
          <rPr>
            <b/>
            <sz val="9"/>
            <color indexed="81"/>
            <rFont val="宋体"/>
            <family val="3"/>
            <charset val="134"/>
          </rPr>
          <t>是否接触过潘多拉项目相关</t>
        </r>
      </text>
    </comment>
    <comment ref="R6" authorId="0" shapeId="0" xr:uid="{AD50FFFA-DE1D-4BE6-8F10-779028B0B542}">
      <text>
        <r>
          <rPr>
            <b/>
            <sz val="12"/>
            <color indexed="81"/>
            <rFont val="宋体"/>
            <family val="3"/>
            <charset val="134"/>
          </rPr>
          <t>适合知道coc，但是对穹顶世界观了解不多的选手，快速生成穹顶八维
穹顶数值 = CoC数值 × 0.4</t>
        </r>
      </text>
    </comment>
    <comment ref="D8" authorId="0" shapeId="0" xr:uid="{F411A13E-048E-443F-AEA6-65553BBA62B8}">
      <text>
        <r>
          <rPr>
            <b/>
            <sz val="9"/>
            <color indexed="81"/>
            <rFont val="宋体"/>
            <family val="3"/>
            <charset val="134"/>
          </rPr>
          <t>性别
（可非二元性别）</t>
        </r>
      </text>
    </comment>
    <comment ref="H8" authorId="0" shapeId="0" xr:uid="{288EA333-295A-4C8D-A1E1-93C0D4AEBBA8}">
      <text>
        <r>
          <rPr>
            <b/>
            <sz val="9"/>
            <color indexed="81"/>
            <rFont val="宋体"/>
            <family val="3"/>
            <charset val="134"/>
          </rPr>
          <t>体重</t>
        </r>
      </text>
    </comment>
    <comment ref="L8" authorId="0" shapeId="0" xr:uid="{28F6C05B-82E1-4E7F-823E-04B5C234DB92}">
      <text>
        <r>
          <rPr>
            <sz val="9"/>
            <color indexed="81"/>
            <rFont val="宋体"/>
            <family val="3"/>
            <charset val="134"/>
          </rPr>
          <t xml:space="preserve">权限等级
</t>
        </r>
      </text>
    </comment>
    <comment ref="D10" authorId="0" shapeId="0" xr:uid="{894382E1-DC93-441A-B988-C1EA8AAC8E55}">
      <text>
        <r>
          <rPr>
            <b/>
            <sz val="9"/>
            <color indexed="81"/>
            <rFont val="宋体"/>
            <family val="3"/>
            <charset val="134"/>
          </rPr>
          <t>年龄</t>
        </r>
      </text>
    </comment>
    <comment ref="H10" authorId="0" shapeId="0" xr:uid="{FC71DE78-E40D-4FC3-92D2-41A858186221}">
      <text>
        <r>
          <rPr>
            <b/>
            <sz val="9"/>
            <color indexed="81"/>
            <rFont val="宋体"/>
            <family val="3"/>
            <charset val="134"/>
          </rPr>
          <t>义体</t>
        </r>
      </text>
    </comment>
    <comment ref="L10" authorId="0" shapeId="0" xr:uid="{33F850D2-EF0D-4984-BECE-6DE87DF0C7E0}">
      <text>
        <r>
          <rPr>
            <sz val="9"/>
            <color indexed="81"/>
            <rFont val="宋体"/>
            <family val="3"/>
            <charset val="134"/>
          </rPr>
          <t xml:space="preserve">能力等级，详见data页
</t>
        </r>
      </text>
    </comment>
    <comment ref="R11" authorId="0" shapeId="0" xr:uid="{E26485DF-9812-4F3C-8F45-1A98BF253428}">
      <text>
        <r>
          <rPr>
            <b/>
            <sz val="10"/>
            <color indexed="81"/>
            <rFont val="宋体"/>
            <family val="3"/>
            <charset val="134"/>
          </rPr>
          <t>注意事项
玩家输入必须技能 + 空格 + 数值
技能名必须和映射表一致
公式自动忽略玩家没填的技能</t>
        </r>
      </text>
    </comment>
    <comment ref="D12" authorId="0" shapeId="0" xr:uid="{30B9354B-5EA3-47AA-98F3-BFD7A7897BA1}">
      <text>
        <r>
          <rPr>
            <b/>
            <sz val="9"/>
            <color indexed="81"/>
            <rFont val="宋体"/>
            <family val="3"/>
            <charset val="134"/>
          </rPr>
          <t>出生日期
（穹顶所在年代为地球2310年）</t>
        </r>
      </text>
    </comment>
    <comment ref="H12" authorId="0" shapeId="0" xr:uid="{86A5C849-BCF4-43A6-90D9-16895A36379C}">
      <text>
        <r>
          <rPr>
            <b/>
            <sz val="9"/>
            <color indexed="81"/>
            <rFont val="宋体"/>
            <family val="3"/>
            <charset val="134"/>
          </rPr>
          <t xml:space="preserve">服役编号
详见编号页
</t>
        </r>
      </text>
    </comment>
    <comment ref="L12" authorId="0" shapeId="0" xr:uid="{668EDC94-2870-44F7-86CF-AABB5010B3D2}">
      <text>
        <r>
          <rPr>
            <b/>
            <sz val="9"/>
            <color indexed="81"/>
            <rFont val="宋体"/>
            <family val="3"/>
            <charset val="134"/>
          </rPr>
          <t>完成战役数</t>
        </r>
      </text>
    </comment>
    <comment ref="D14" authorId="0" shapeId="0" xr:uid="{7CE4FC4D-D765-42F9-A21E-EF93BE7A31C3}">
      <text>
        <r>
          <rPr>
            <b/>
            <sz val="9"/>
            <color indexed="81"/>
            <rFont val="宋体"/>
            <family val="3"/>
            <charset val="134"/>
          </rPr>
          <t>国籍</t>
        </r>
      </text>
    </comment>
    <comment ref="H14" authorId="0" shapeId="0" xr:uid="{F8B8645B-F426-4C26-AA96-EA4C7B33EDE3}">
      <text>
        <r>
          <rPr>
            <b/>
            <sz val="9"/>
            <color indexed="81"/>
            <rFont val="宋体"/>
            <family val="3"/>
            <charset val="134"/>
          </rPr>
          <t>种族</t>
        </r>
      </text>
    </comment>
    <comment ref="L14" authorId="0" shapeId="0" xr:uid="{21AF4177-CACA-413B-A00D-B02E6A12BD24}">
      <text>
        <r>
          <rPr>
            <sz val="9"/>
            <color indexed="81"/>
            <rFont val="宋体"/>
            <family val="3"/>
            <charset val="134"/>
          </rPr>
          <t xml:space="preserve">精神状态
</t>
        </r>
      </text>
    </comment>
    <comment ref="N14" authorId="0" shapeId="0" xr:uid="{D0960AE4-06B8-4274-9F79-B22813029015}">
      <text>
        <r>
          <rPr>
            <sz val="9"/>
            <color indexed="81"/>
            <rFont val="宋体"/>
            <family val="3"/>
            <charset val="134"/>
          </rPr>
          <t xml:space="preserve">直面模因污染，遭受的侵蚀等级
</t>
        </r>
      </text>
    </comment>
    <comment ref="D16" authorId="0" shapeId="0" xr:uid="{0F721FA5-E144-4FDC-B50D-3606D4FA069A}">
      <text>
        <r>
          <rPr>
            <b/>
            <sz val="9"/>
            <color indexed="81"/>
            <rFont val="宋体"/>
            <family val="3"/>
            <charset val="134"/>
          </rPr>
          <t>血型</t>
        </r>
      </text>
    </comment>
    <comment ref="H16" authorId="0" shapeId="0" xr:uid="{115A9320-9B00-49C9-AF06-9F5B216A968F}">
      <text>
        <r>
          <rPr>
            <sz val="9"/>
            <color indexed="81"/>
            <rFont val="宋体"/>
            <family val="3"/>
            <charset val="134"/>
          </rPr>
          <t xml:space="preserve">从属结构，从左往右分别是一至三级单位，只需要点开选择你想去的部门即可
</t>
        </r>
      </text>
    </comment>
    <comment ref="N16" authorId="0" shapeId="0" xr:uid="{FF3D1FDD-8287-450A-A1B6-B0EF3DAD99D6}">
      <text>
        <r>
          <rPr>
            <b/>
            <sz val="9"/>
            <color indexed="81"/>
            <rFont val="宋体"/>
            <family val="3"/>
            <charset val="134"/>
          </rPr>
          <t>状态（如死亡/存活/失踪）</t>
        </r>
      </text>
    </comment>
    <comment ref="D18" authorId="0" shapeId="0" xr:uid="{9AA335B2-F67B-4E9A-AC90-AA923800E7F8}">
      <text>
        <r>
          <rPr>
            <b/>
            <sz val="9"/>
            <color indexed="81"/>
            <rFont val="宋体"/>
            <family val="3"/>
            <charset val="134"/>
          </rPr>
          <t>入职日期</t>
        </r>
      </text>
    </comment>
    <comment ref="A21" authorId="0" shapeId="0" xr:uid="{D673F433-22AF-44F7-BE94-E98754CAE50D}">
      <text>
        <r>
          <rPr>
            <sz val="9"/>
            <color indexed="81"/>
            <rFont val="宋体"/>
            <family val="3"/>
            <charset val="134"/>
          </rPr>
          <t xml:space="preserve">大项封顶40，小项封顶10每项，如果有超出规定数值的，需要减少其他项的数值进行均衡
满分320（人类），特殊能力可以酌情突破，封顶20点（共40+20=60可用）
</t>
        </r>
      </text>
    </comment>
    <comment ref="A23" authorId="0" shapeId="0" xr:uid="{63668808-E24B-4302-AD79-845BBFC47CC3}">
      <text>
        <r>
          <rPr>
            <b/>
            <sz val="9"/>
            <color indexed="81"/>
            <rFont val="宋体"/>
            <family val="3"/>
            <charset val="134"/>
          </rPr>
          <t>正面突破/近距离交火/清房能力</t>
        </r>
      </text>
    </comment>
    <comment ref="A25" authorId="0" shapeId="0" xr:uid="{E46841FB-1FB1-4600-BAA4-7B812795C11C}">
      <text>
        <r>
          <rPr>
            <b/>
            <sz val="9"/>
            <color indexed="81"/>
            <rFont val="宋体"/>
            <family val="3"/>
            <charset val="134"/>
          </rPr>
          <t>远程射击/狙击/打击要害</t>
        </r>
      </text>
    </comment>
    <comment ref="A27" authorId="0" shapeId="0" xr:uid="{F50B6610-F2D4-4CC6-8882-A72FA7FB7121}">
      <text>
        <r>
          <rPr>
            <sz val="9"/>
            <color indexed="81"/>
            <rFont val="宋体"/>
            <family val="3"/>
            <charset val="134"/>
          </rPr>
          <t xml:space="preserve">反追踪/伪装/渗透
</t>
        </r>
      </text>
    </comment>
    <comment ref="A29" authorId="0" shapeId="0" xr:uid="{62E6267E-67ED-4D45-8864-CA317505B735}">
      <text>
        <r>
          <rPr>
            <sz val="9"/>
            <color indexed="81"/>
            <rFont val="宋体"/>
            <family val="3"/>
            <charset val="134"/>
          </rPr>
          <t xml:space="preserve">战场决策/战术规划/应变能力
</t>
        </r>
      </text>
    </comment>
    <comment ref="A31" authorId="0" shapeId="0" xr:uid="{30A6F85F-0A25-4524-B7C0-8BC59331E518}">
      <text>
        <r>
          <rPr>
            <sz val="9"/>
            <color indexed="81"/>
            <rFont val="宋体"/>
            <family val="3"/>
            <charset val="134"/>
          </rPr>
          <t xml:space="preserve">战场存活/抗击打/恢复/特殊地形适应能力
</t>
        </r>
      </text>
    </comment>
    <comment ref="A33" authorId="0" shapeId="0" xr:uid="{02ED591F-D21C-4C56-9B61-229A6CB8E2AB}">
      <text>
        <r>
          <rPr>
            <sz val="9"/>
            <color indexed="81"/>
            <rFont val="宋体"/>
            <family val="3"/>
            <charset val="134"/>
          </rPr>
          <t xml:space="preserve">载具对抗/机械修理
</t>
        </r>
      </text>
    </comment>
    <comment ref="A35" authorId="0" shapeId="0" xr:uid="{C77D934F-B813-4D16-A834-6EFE33F22FAE}">
      <text>
        <r>
          <rPr>
            <b/>
            <sz val="9"/>
            <color indexed="81"/>
            <rFont val="宋体"/>
            <family val="3"/>
            <charset val="134"/>
          </rPr>
          <t>黑客/信息战</t>
        </r>
      </text>
    </comment>
    <comment ref="A37" authorId="0" shapeId="0" xr:uid="{C3340CAE-C800-46EA-95AE-1C8B27AA221B}">
      <text>
        <r>
          <rPr>
            <sz val="9"/>
            <color indexed="81"/>
            <rFont val="宋体"/>
            <family val="3"/>
            <charset val="134"/>
          </rPr>
          <t xml:space="preserve">外星特殊能力/自带特殊能力
</t>
        </r>
      </text>
    </comment>
    <comment ref="A41" authorId="0" shapeId="0" xr:uid="{D2CA0493-E3E6-43B1-A32C-3DFE6C068050}">
      <text>
        <r>
          <rPr>
            <b/>
            <sz val="9"/>
            <color indexed="81"/>
            <rFont val="宋体"/>
            <family val="3"/>
            <charset val="134"/>
          </rPr>
          <t>满分10，参考八维数值对照</t>
        </r>
      </text>
    </comment>
    <comment ref="G49" authorId="0" shapeId="0" xr:uid="{D07EC51E-FDC3-4402-BC26-6A5537FA587D}">
      <text>
        <r>
          <rPr>
            <sz val="9"/>
            <color indexed="81"/>
            <rFont val="宋体"/>
            <family val="3"/>
            <charset val="134"/>
          </rPr>
          <t xml:space="preserve">低重力作战
</t>
        </r>
      </text>
    </comment>
    <comment ref="H49" authorId="0" shapeId="0" xr:uid="{C9B1F72E-53AE-4115-A6D1-E057EB860774}">
      <text>
        <r>
          <rPr>
            <b/>
            <sz val="9"/>
            <color indexed="81"/>
            <rFont val="宋体"/>
            <family val="3"/>
            <charset val="134"/>
          </rPr>
          <t>真空耐受力</t>
        </r>
      </text>
    </comment>
    <comment ref="I49" authorId="0" shapeId="0" xr:uid="{8D9E51CF-225D-4057-9F14-DF3429731183}">
      <text>
        <r>
          <rPr>
            <sz val="9"/>
            <color indexed="81"/>
            <rFont val="宋体"/>
            <family val="3"/>
            <charset val="134"/>
          </rPr>
          <t xml:space="preserve">机动操作
</t>
        </r>
      </text>
    </comment>
    <comment ref="J49" authorId="0" shapeId="0" xr:uid="{125318D6-8A38-4C4D-9FEC-A410D9C11A63}">
      <text>
        <r>
          <rPr>
            <b/>
            <sz val="9"/>
            <color indexed="81"/>
            <rFont val="宋体"/>
            <family val="3"/>
            <charset val="134"/>
          </rPr>
          <t>通讯</t>
        </r>
      </text>
    </comment>
    <comment ref="K49" authorId="0" shapeId="0" xr:uid="{547EF3DA-1AC9-4405-8A70-93CA768915D8}">
      <text>
        <r>
          <rPr>
            <b/>
            <sz val="9"/>
            <color indexed="81"/>
            <rFont val="宋体"/>
            <family val="3"/>
            <charset val="134"/>
          </rPr>
          <t>外星力量耐受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<sst xmlns="http://schemas.openxmlformats.org/spreadsheetml/2006/main" count="1245" uniqueCount="452">
  <si>
    <t>评级</t>
    <phoneticPr fontId="1" type="noConversion"/>
  </si>
  <si>
    <t>下限</t>
    <phoneticPr fontId="1" type="noConversion"/>
  </si>
  <si>
    <t>上限</t>
    <phoneticPr fontId="1" type="noConversion"/>
  </si>
  <si>
    <t>S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</si>
  <si>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</si>
  <si>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</si>
  <si>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</si>
  <si>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</si>
  <si>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备注</t>
    <phoneticPr fontId="1" type="noConversion"/>
  </si>
  <si>
    <t>代号</t>
    <phoneticPr fontId="1" type="noConversion"/>
  </si>
  <si>
    <t>性别</t>
    <phoneticPr fontId="1" type="noConversion"/>
  </si>
  <si>
    <t>年龄</t>
    <phoneticPr fontId="1" type="noConversion"/>
  </si>
  <si>
    <t>身高</t>
    <phoneticPr fontId="1" type="noConversion"/>
  </si>
  <si>
    <t>体重</t>
    <phoneticPr fontId="1" type="noConversion"/>
  </si>
  <si>
    <t>战术远程组</t>
  </si>
  <si>
    <t>医疗监察署</t>
  </si>
  <si>
    <t>战术支援组</t>
  </si>
  <si>
    <t>二级</t>
  </si>
  <si>
    <t>三级</t>
  </si>
  <si>
    <t>战略指挥中心</t>
  </si>
  <si>
    <t>作战指挥室</t>
  </si>
  <si>
    <t>危机处理组</t>
  </si>
  <si>
    <t>情报分析局</t>
  </si>
  <si>
    <t>战略推演室</t>
  </si>
  <si>
    <t>外星技术解析科</t>
  </si>
  <si>
    <t>战地医疗组</t>
  </si>
  <si>
    <t>心理干预科</t>
  </si>
  <si>
    <t>生物安全实验室</t>
  </si>
  <si>
    <t>核心特遣队</t>
  </si>
  <si>
    <t>第1特遣小队（暗影）</t>
  </si>
  <si>
    <t>第2特遣小队（铁砧）</t>
  </si>
  <si>
    <t>轨道突击群</t>
  </si>
  <si>
    <t>空间站防卫组</t>
  </si>
  <si>
    <t>轨道登陆队</t>
  </si>
  <si>
    <t>狙击支援科</t>
  </si>
  <si>
    <t>火力协调室</t>
  </si>
  <si>
    <t>装备研发科</t>
  </si>
  <si>
    <t>外骨骼实验室</t>
  </si>
  <si>
    <t>武器测试场</t>
  </si>
  <si>
    <t>信息技术处</t>
  </si>
  <si>
    <t>网络安全组</t>
  </si>
  <si>
    <t>数据挖掘科</t>
  </si>
  <si>
    <t>一级</t>
  </si>
  <si>
    <t>请插入照片</t>
    <phoneticPr fontId="1" type="noConversion"/>
  </si>
  <si>
    <t>COMMANDSTRUCTURE：</t>
    <phoneticPr fontId="1" type="noConversion"/>
  </si>
  <si>
    <t>DEPT</t>
    <phoneticPr fontId="1" type="noConversion"/>
  </si>
  <si>
    <t>BRCH</t>
    <phoneticPr fontId="1" type="noConversion"/>
  </si>
  <si>
    <t>DIV</t>
    <phoneticPr fontId="1" type="noConversion"/>
  </si>
  <si>
    <t>SPECIAL MARK</t>
    <phoneticPr fontId="1" type="noConversion"/>
  </si>
  <si>
    <t>MEMLVL</t>
    <phoneticPr fontId="1" type="noConversion"/>
  </si>
  <si>
    <t>STATUS</t>
    <phoneticPr fontId="1" type="noConversion"/>
  </si>
  <si>
    <t>PEX</t>
    <phoneticPr fontId="1" type="noConversion"/>
  </si>
  <si>
    <t>CLR</t>
    <phoneticPr fontId="1" type="noConversion"/>
  </si>
  <si>
    <t>OPs</t>
    <phoneticPr fontId="1" type="noConversion"/>
  </si>
  <si>
    <t>MEM</t>
    <phoneticPr fontId="1" type="noConversion"/>
  </si>
  <si>
    <t>出生日期</t>
    <phoneticPr fontId="1" type="noConversion"/>
  </si>
  <si>
    <t>国籍</t>
    <phoneticPr fontId="1" type="noConversion"/>
  </si>
  <si>
    <t>血型</t>
    <phoneticPr fontId="1" type="noConversion"/>
  </si>
  <si>
    <t>入职日期</t>
    <phoneticPr fontId="1" type="noConversion"/>
  </si>
  <si>
    <t>义体</t>
    <phoneticPr fontId="1" type="noConversion"/>
  </si>
  <si>
    <t>服役编号</t>
    <phoneticPr fontId="1" type="noConversion"/>
  </si>
  <si>
    <t>种族</t>
    <phoneticPr fontId="1" type="noConversion"/>
  </si>
  <si>
    <t>Space Warfare Capability Assessment</t>
    <phoneticPr fontId="1" type="noConversion"/>
  </si>
  <si>
    <t>低重力作战适应</t>
    <phoneticPr fontId="1" type="noConversion"/>
  </si>
  <si>
    <t>真空环境耐受</t>
    <phoneticPr fontId="1" type="noConversion"/>
  </si>
  <si>
    <t>舱外活动</t>
    <phoneticPr fontId="1" type="noConversion"/>
  </si>
  <si>
    <t>外星技术接触耐受</t>
    <phoneticPr fontId="1" type="noConversion"/>
  </si>
  <si>
    <t>辐射抗性</t>
    <phoneticPr fontId="1" type="noConversion"/>
  </si>
  <si>
    <t>极端温度适应</t>
    <phoneticPr fontId="1" type="noConversion"/>
  </si>
  <si>
    <t>太空载具驾驶</t>
    <phoneticPr fontId="1" type="noConversion"/>
  </si>
  <si>
    <t>MMU操作</t>
    <phoneticPr fontId="1" type="noConversion"/>
  </si>
  <si>
    <t>轨道机动</t>
    <phoneticPr fontId="1" type="noConversion"/>
  </si>
  <si>
    <t>轨道定位</t>
    <phoneticPr fontId="1" type="noConversion"/>
  </si>
  <si>
    <t>传感器解析</t>
    <phoneticPr fontId="1" type="noConversion"/>
  </si>
  <si>
    <t>空间站CQB</t>
    <phoneticPr fontId="1" type="noConversion"/>
  </si>
  <si>
    <t>设施破坏</t>
    <phoneticPr fontId="1" type="noConversion"/>
  </si>
  <si>
    <t>ZGC</t>
    <phoneticPr fontId="1" type="noConversion"/>
  </si>
  <si>
    <t>VACT</t>
    <phoneticPr fontId="1" type="noConversion"/>
  </si>
  <si>
    <t>EVA</t>
    <phoneticPr fontId="1" type="noConversion"/>
  </si>
  <si>
    <t>DSC</t>
    <phoneticPr fontId="1" type="noConversion"/>
  </si>
  <si>
    <t>PET</t>
    <phoneticPr fontId="1" type="noConversion"/>
  </si>
  <si>
    <t>突击能力AST</t>
    <phoneticPr fontId="1" type="noConversion"/>
  </si>
  <si>
    <t>精准能力PRC</t>
    <phoneticPr fontId="1" type="noConversion"/>
  </si>
  <si>
    <t>潜行能力STH</t>
    <phoneticPr fontId="1" type="noConversion"/>
  </si>
  <si>
    <t>战术规划TAC</t>
    <phoneticPr fontId="1" type="noConversion"/>
  </si>
  <si>
    <t>生存能力SRV</t>
    <phoneticPr fontId="1" type="noConversion"/>
  </si>
  <si>
    <t>工具使用HVY</t>
    <phoneticPr fontId="1" type="noConversion"/>
  </si>
  <si>
    <t>技术能力TCH</t>
    <phoneticPr fontId="1" type="noConversion"/>
  </si>
  <si>
    <t>特殊能力SPC</t>
    <phoneticPr fontId="1" type="noConversion"/>
  </si>
  <si>
    <t>综合八维一览</t>
    <phoneticPr fontId="1" type="noConversion"/>
  </si>
  <si>
    <t>Core Eight Dimensions</t>
    <phoneticPr fontId="1" type="noConversion"/>
  </si>
  <si>
    <t>总值</t>
    <phoneticPr fontId="1" type="noConversion"/>
  </si>
  <si>
    <t>近战格斗</t>
    <phoneticPr fontId="1" type="noConversion"/>
  </si>
  <si>
    <t>正面突破</t>
    <phoneticPr fontId="1" type="noConversion"/>
  </si>
  <si>
    <t>反应速度</t>
    <phoneticPr fontId="1" type="noConversion"/>
  </si>
  <si>
    <t>压制攻击</t>
    <phoneticPr fontId="1" type="noConversion"/>
  </si>
  <si>
    <t>狙击专精</t>
    <phoneticPr fontId="1" type="noConversion"/>
  </si>
  <si>
    <t>中远程射击</t>
    <phoneticPr fontId="1" type="noConversion"/>
  </si>
  <si>
    <t>投掷物专精</t>
    <phoneticPr fontId="1" type="noConversion"/>
  </si>
  <si>
    <t>弱点识别</t>
    <phoneticPr fontId="1" type="noConversion"/>
  </si>
  <si>
    <t>静默行动</t>
    <phoneticPr fontId="1" type="noConversion"/>
  </si>
  <si>
    <t>反追踪</t>
    <phoneticPr fontId="1" type="noConversion"/>
  </si>
  <si>
    <t>渗透潜入</t>
    <phoneticPr fontId="1" type="noConversion"/>
  </si>
  <si>
    <t>伪装易容</t>
    <phoneticPr fontId="1" type="noConversion"/>
  </si>
  <si>
    <t>战术分析</t>
    <phoneticPr fontId="1" type="noConversion"/>
  </si>
  <si>
    <t>临场决策</t>
    <phoneticPr fontId="1" type="noConversion"/>
  </si>
  <si>
    <t>资源调配</t>
    <phoneticPr fontId="1" type="noConversion"/>
  </si>
  <si>
    <t>任务规划</t>
    <phoneticPr fontId="1" type="noConversion"/>
  </si>
  <si>
    <t>长时间作战能力</t>
    <phoneticPr fontId="1" type="noConversion"/>
  </si>
  <si>
    <t>伤害抗性</t>
    <phoneticPr fontId="1" type="noConversion"/>
  </si>
  <si>
    <t>自愈恢复</t>
    <phoneticPr fontId="1" type="noConversion"/>
  </si>
  <si>
    <t>应急处理</t>
    <phoneticPr fontId="1" type="noConversion"/>
  </si>
  <si>
    <t>重武器操作</t>
    <phoneticPr fontId="1" type="noConversion"/>
  </si>
  <si>
    <t>爆破专精</t>
    <phoneticPr fontId="1" type="noConversion"/>
  </si>
  <si>
    <t>载具对抗</t>
    <phoneticPr fontId="1" type="noConversion"/>
  </si>
  <si>
    <t>掩护能力</t>
    <phoneticPr fontId="1" type="noConversion"/>
  </si>
  <si>
    <t>黑客技术</t>
    <phoneticPr fontId="1" type="noConversion"/>
  </si>
  <si>
    <t>信息对抗</t>
    <phoneticPr fontId="1" type="noConversion"/>
  </si>
  <si>
    <t>装备维护</t>
    <phoneticPr fontId="1" type="noConversion"/>
  </si>
  <si>
    <t>学术能力</t>
    <phoneticPr fontId="1" type="noConversion"/>
  </si>
  <si>
    <t>八维数值对照</t>
    <phoneticPr fontId="1" type="noConversion"/>
  </si>
  <si>
    <t>略有耳闻</t>
    <phoneticPr fontId="1" type="noConversion"/>
  </si>
  <si>
    <t>极差</t>
    <phoneticPr fontId="1" type="noConversion"/>
  </si>
  <si>
    <t>生疏</t>
    <phoneticPr fontId="1" type="noConversion"/>
  </si>
  <si>
    <t>新手</t>
    <phoneticPr fontId="1" type="noConversion"/>
  </si>
  <si>
    <t>基础</t>
    <phoneticPr fontId="1" type="noConversion"/>
  </si>
  <si>
    <t>合格</t>
    <phoneticPr fontId="1" type="noConversion"/>
  </si>
  <si>
    <t>熟练</t>
    <phoneticPr fontId="1" type="noConversion"/>
  </si>
  <si>
    <t>精锐</t>
    <phoneticPr fontId="1" type="noConversion"/>
  </si>
  <si>
    <t>专家</t>
    <phoneticPr fontId="1" type="noConversion"/>
  </si>
  <si>
    <t>人类极限</t>
    <phoneticPr fontId="1" type="noConversion"/>
  </si>
  <si>
    <t>备注栏目（填写履历/特殊能力介绍/关于这个特工的注意事项）</t>
    <phoneticPr fontId="1" type="noConversion"/>
  </si>
  <si>
    <t>全局战术决策组</t>
  </si>
  <si>
    <t>危机响应组</t>
  </si>
  <si>
    <t>联合作战协调组</t>
  </si>
  <si>
    <t>紧急事态研判组</t>
  </si>
  <si>
    <t>快速反应调度组</t>
  </si>
  <si>
    <t>威胁建模组</t>
  </si>
  <si>
    <t>战场预测组</t>
  </si>
  <si>
    <t>潘多拉逆向研究组</t>
  </si>
  <si>
    <t>地外生物分析组</t>
  </si>
  <si>
    <t>技术威胁评估组</t>
  </si>
  <si>
    <t>前线急救分队</t>
  </si>
  <si>
    <t>重伤转运组</t>
  </si>
  <si>
    <t>创伤后干预组</t>
  </si>
  <si>
    <t>洗脑恢复治疗组</t>
  </si>
  <si>
    <t>外星污染隔离组</t>
  </si>
  <si>
    <t>疫苗研发组</t>
  </si>
  <si>
    <t>潜入组</t>
  </si>
  <si>
    <t>狙杀组</t>
  </si>
  <si>
    <t>情报回收组</t>
  </si>
  <si>
    <t>装备测试组</t>
  </si>
  <si>
    <t>特种爆破组</t>
  </si>
  <si>
    <t>穹顶空间站安保</t>
  </si>
  <si>
    <t>轨道巡逻队</t>
  </si>
  <si>
    <t>地外设施突击组</t>
  </si>
  <si>
    <t>低重力作战组</t>
  </si>
  <si>
    <t>超远程火力组</t>
  </si>
  <si>
    <t>观测引导组</t>
  </si>
  <si>
    <t>轨道炮调度组</t>
  </si>
  <si>
    <t>地面火力支援组</t>
  </si>
  <si>
    <t>动力装甲测试组</t>
  </si>
  <si>
    <t>义体适配组</t>
  </si>
  <si>
    <t>实弹测试组</t>
  </si>
  <si>
    <t>能量武器实验组</t>
  </si>
  <si>
    <t>穹顶系统防御组</t>
  </si>
  <si>
    <t>渗透反制组</t>
  </si>
  <si>
    <t>情报数据分析组</t>
  </si>
  <si>
    <t>通信拦截解析组</t>
  </si>
  <si>
    <t>特工状态</t>
    <phoneticPr fontId="1" type="noConversion"/>
  </si>
  <si>
    <t>在职/活跃Active</t>
    <phoneticPr fontId="1" type="noConversion"/>
  </si>
  <si>
    <t>停职/休眠Inactive</t>
    <phoneticPr fontId="1" type="noConversion"/>
  </si>
  <si>
    <t>停职审查Suspended</t>
    <phoneticPr fontId="1" type="noConversion"/>
  </si>
  <si>
    <t>辞职Resigned</t>
    <phoneticPr fontId="1" type="noConversion"/>
  </si>
  <si>
    <t>失踪MIA</t>
  </si>
  <si>
    <t>失踪MIA</t>
    <phoneticPr fontId="1" type="noConversion"/>
  </si>
  <si>
    <t>阵亡KIA！</t>
    <phoneticPr fontId="1" type="noConversion"/>
  </si>
  <si>
    <t>模因污染等级</t>
    <phoneticPr fontId="1" type="noConversion"/>
  </si>
  <si>
    <t>权限等级</t>
    <phoneticPr fontId="1" type="noConversion"/>
  </si>
  <si>
    <t>Level0（公开/未授权）</t>
    <phoneticPr fontId="1" type="noConversion"/>
  </si>
  <si>
    <t>Level1（基础保密）</t>
    <phoneticPr fontId="1" type="noConversion"/>
  </si>
  <si>
    <t>Level2（受限访问）</t>
    <phoneticPr fontId="1" type="noConversion"/>
  </si>
  <si>
    <t>Level3（机密）</t>
    <phoneticPr fontId="1" type="noConversion"/>
  </si>
  <si>
    <t>Level4（绝密）</t>
    <phoneticPr fontId="1" type="noConversion"/>
  </si>
  <si>
    <t>Level5（顶级）</t>
    <phoneticPr fontId="1" type="noConversion"/>
  </si>
  <si>
    <t>一级列表</t>
    <phoneticPr fontId="1" type="noConversion"/>
  </si>
  <si>
    <t>该特工八维</t>
    <phoneticPr fontId="1" type="noConversion"/>
  </si>
  <si>
    <t>AST</t>
    <phoneticPr fontId="1" type="noConversion"/>
  </si>
  <si>
    <t>PRC</t>
    <phoneticPr fontId="1" type="noConversion"/>
  </si>
  <si>
    <t>STH</t>
    <phoneticPr fontId="1" type="noConversion"/>
  </si>
  <si>
    <t>SRV</t>
    <phoneticPr fontId="1" type="noConversion"/>
  </si>
  <si>
    <t>HVY</t>
    <phoneticPr fontId="1" type="noConversion"/>
  </si>
  <si>
    <t>TCH</t>
    <phoneticPr fontId="1" type="noConversion"/>
  </si>
  <si>
    <t>SPC</t>
    <phoneticPr fontId="1" type="noConversion"/>
  </si>
  <si>
    <t>TAC</t>
    <phoneticPr fontId="1" type="noConversion"/>
  </si>
  <si>
    <t>特工五维</t>
    <phoneticPr fontId="1" type="noConversion"/>
  </si>
  <si>
    <t>一级代码</t>
  </si>
  <si>
    <t>一级代码</t>
    <phoneticPr fontId="1" type="noConversion"/>
  </si>
  <si>
    <t>SC</t>
  </si>
  <si>
    <t>SC</t>
    <phoneticPr fontId="1" type="noConversion"/>
  </si>
  <si>
    <t>IA</t>
  </si>
  <si>
    <t>IA</t>
    <phoneticPr fontId="1" type="noConversion"/>
  </si>
  <si>
    <t>MC</t>
  </si>
  <si>
    <t>MC</t>
    <phoneticPr fontId="1" type="noConversion"/>
  </si>
  <si>
    <t>TRU</t>
  </si>
  <si>
    <t>TRU</t>
    <phoneticPr fontId="1" type="noConversion"/>
  </si>
  <si>
    <t>ERD</t>
  </si>
  <si>
    <t>ERD</t>
    <phoneticPr fontId="1" type="noConversion"/>
  </si>
  <si>
    <t>ITD</t>
  </si>
  <si>
    <t>ITD</t>
    <phoneticPr fontId="1" type="noConversion"/>
  </si>
  <si>
    <t>CTF</t>
  </si>
  <si>
    <t>CTF</t>
    <phoneticPr fontId="1" type="noConversion"/>
  </si>
  <si>
    <t>能力等级代码</t>
    <phoneticPr fontId="1" type="noConversion"/>
  </si>
  <si>
    <t>S</t>
  </si>
  <si>
    <t>S</t>
    <phoneticPr fontId="1" type="noConversion"/>
  </si>
  <si>
    <t>A</t>
  </si>
  <si>
    <t>A</t>
    <phoneticPr fontId="1" type="noConversion"/>
  </si>
  <si>
    <t>B</t>
  </si>
  <si>
    <t>B</t>
    <phoneticPr fontId="1" type="noConversion"/>
  </si>
  <si>
    <t>C</t>
  </si>
  <si>
    <t>C</t>
    <phoneticPr fontId="1" type="noConversion"/>
  </si>
  <si>
    <t>D</t>
  </si>
  <si>
    <t>D</t>
    <phoneticPr fontId="1" type="noConversion"/>
  </si>
  <si>
    <t>可单独执行最高难度任务</t>
  </si>
  <si>
    <t>可单独执行最高难度任务</t>
    <phoneticPr fontId="1" type="noConversion"/>
  </si>
  <si>
    <t>可担任队长或核心队员</t>
  </si>
  <si>
    <t>可担任队长或核心队员</t>
    <phoneticPr fontId="1" type="noConversion"/>
  </si>
  <si>
    <t>标准，可独立执行常规任务</t>
  </si>
  <si>
    <t>标准，可独立执行常规任务</t>
    <phoneticPr fontId="1" type="noConversion"/>
  </si>
  <si>
    <t>预备级，需要b以上队员带领</t>
    <phoneticPr fontId="1" type="noConversion"/>
  </si>
  <si>
    <t>后备人员，实习</t>
    <phoneticPr fontId="1" type="noConversion"/>
  </si>
  <si>
    <t>号码规则</t>
    <phoneticPr fontId="1" type="noConversion"/>
  </si>
  <si>
    <t>正式特工</t>
    <phoneticPr fontId="1" type="noConversion"/>
  </si>
  <si>
    <t>01-99</t>
    <phoneticPr fontId="1" type="noConversion"/>
  </si>
  <si>
    <t>按照入职顺序编号</t>
    <phoneticPr fontId="1" type="noConversion"/>
  </si>
  <si>
    <t>预备特工</t>
    <phoneticPr fontId="1" type="noConversion"/>
  </si>
  <si>
    <t>特殊（访客）/机密特工</t>
    <phoneticPr fontId="1" type="noConversion"/>
  </si>
  <si>
    <t>跨部门特工</t>
    <phoneticPr fontId="1" type="noConversion"/>
  </si>
  <si>
    <t>退役</t>
    <phoneticPr fontId="1" type="noConversion"/>
  </si>
  <si>
    <t>R</t>
    <phoneticPr fontId="1" type="noConversion"/>
  </si>
  <si>
    <t>二级部门</t>
  </si>
  <si>
    <t>三级组</t>
  </si>
  <si>
    <t>职能代码</t>
  </si>
  <si>
    <t>TD</t>
  </si>
  <si>
    <t>CR</t>
  </si>
  <si>
    <t>紧急态势研判组</t>
  </si>
  <si>
    <t>EA</t>
  </si>
  <si>
    <t>QR</t>
  </si>
  <si>
    <t>TM</t>
  </si>
  <si>
    <t>BP</t>
  </si>
  <si>
    <t>外星技术科</t>
  </si>
  <si>
    <t>潘多拉逆向组</t>
  </si>
  <si>
    <t>PR</t>
  </si>
  <si>
    <t>XB</t>
  </si>
  <si>
    <t>FA</t>
  </si>
  <si>
    <t>MT</t>
  </si>
  <si>
    <t>PI</t>
  </si>
  <si>
    <t>洗脑恢复组</t>
  </si>
  <si>
    <t>BR</t>
  </si>
  <si>
    <t>生物安全科</t>
  </si>
  <si>
    <t>XC</t>
  </si>
  <si>
    <t>VC</t>
  </si>
  <si>
    <t>第1特遣小队</t>
  </si>
  <si>
    <t>INF</t>
  </si>
  <si>
    <t>SNP</t>
  </si>
  <si>
    <t>IR</t>
  </si>
  <si>
    <t>第2特遣小队</t>
  </si>
  <si>
    <t>EQT</t>
  </si>
  <si>
    <t>DEM</t>
  </si>
  <si>
    <t>TAC</t>
  </si>
  <si>
    <t>DSS</t>
  </si>
  <si>
    <t>OP</t>
  </si>
  <si>
    <t>EGA</t>
  </si>
  <si>
    <t>LGW</t>
  </si>
  <si>
    <t>XRF</t>
  </si>
  <si>
    <t>OG</t>
  </si>
  <si>
    <t>OC</t>
  </si>
  <si>
    <t>GFS</t>
  </si>
  <si>
    <t>PAS</t>
  </si>
  <si>
    <t>PRO</t>
  </si>
  <si>
    <t>LFT</t>
  </si>
  <si>
    <t>EW</t>
  </si>
  <si>
    <t>DSD</t>
  </si>
  <si>
    <t>PC</t>
  </si>
  <si>
    <t>IDA</t>
  </si>
  <si>
    <t>CI</t>
  </si>
  <si>
    <t>结构键</t>
  </si>
  <si>
    <t>结构键</t>
    <phoneticPr fontId="1" type="noConversion"/>
  </si>
  <si>
    <t>轨道突击群 - 空间站防卫组 - 穹顶空间站安保</t>
  </si>
  <si>
    <t>轨道突击群 - 空间站防卫组 - 轨道巡逻队</t>
  </si>
  <si>
    <t>轨道突击群 - 轨道登陆队 - 地外设施突击组</t>
  </si>
  <si>
    <t>轨道突击群 - 轨道登陆队 - 低重力作战组</t>
  </si>
  <si>
    <t>核心特遣队 - 第1特遣小队（暗影） - 潜入组</t>
  </si>
  <si>
    <t>核心特遣队 - 第1特遣小队（暗影） - 狙杀组</t>
  </si>
  <si>
    <t>核心特遣队 - 第1特遣小队（暗影） - 情报回收组</t>
  </si>
  <si>
    <t>核心特遣队 - 第2特遣小队（铁砧） - 装备测试组</t>
  </si>
  <si>
    <t>核心特遣队 - 第2特遣小队（铁砧） - 特种爆破组</t>
  </si>
  <si>
    <t>核心特遣队 - 第2特遣小队（铁砧） - 战术支援组</t>
  </si>
  <si>
    <t>情报分析局 - 战略推演室 - 威胁建模组</t>
  </si>
  <si>
    <t>情报分析局 - 战略推演室 - 战场预测组</t>
  </si>
  <si>
    <t>情报分析局 - 外星技术解析科 - 潘多拉逆向研究组</t>
  </si>
  <si>
    <t>情报分析局 - 外星技术解析科 - 地外生物分析组</t>
  </si>
  <si>
    <t>情报分析局 - 外星技术解析科 - 技术威胁评估组</t>
  </si>
  <si>
    <t>信息技术处 - 网络安全组 - 穹顶系统防御组</t>
  </si>
  <si>
    <t>信息技术处 - 网络安全组 - 渗透反制组</t>
  </si>
  <si>
    <t>信息技术处 - 数据挖掘科 - 情报数据分析组</t>
  </si>
  <si>
    <t>信息技术处 - 数据挖掘科 - 通信拦截解析组</t>
  </si>
  <si>
    <t>医疗监察署 - 战地医疗组 - 前线急救分队</t>
  </si>
  <si>
    <t>医疗监察署 - 战地医疗组 - 重伤转运组</t>
  </si>
  <si>
    <t>医疗监察署 - 心理干预科 - 创伤后干预组</t>
  </si>
  <si>
    <t>医疗监察署 - 心理干预科 - 洗脑恢复治疗组</t>
  </si>
  <si>
    <t>医疗监察署 - 生物安全实验室 - 外星污染隔离组</t>
  </si>
  <si>
    <t>医疗监察署 - 生物安全实验室 - 疫苗研发组</t>
  </si>
  <si>
    <t>战略指挥中心 - 作战指挥室 - 全局战术决策组</t>
  </si>
  <si>
    <t>战略指挥中心 - 作战指挥室 - 危机响应组</t>
  </si>
  <si>
    <t>战略指挥中心 - 作战指挥室 - 联合作战协调组</t>
  </si>
  <si>
    <t>战略指挥中心 - 危机处理组 - 紧急事态研判组</t>
  </si>
  <si>
    <t>战略指挥中心 - 危机处理组 - 快速反应调度组</t>
  </si>
  <si>
    <t>战术远程组 - 狙击支援科 - 超远程火力组</t>
  </si>
  <si>
    <t>战术远程组 - 狙击支援科 - 观测引导组</t>
  </si>
  <si>
    <t>战术远程组 - 火力协调室 - 轨道炮调度组</t>
  </si>
  <si>
    <t>战术远程组 - 火力协调室 - 地面火力支援组</t>
  </si>
  <si>
    <t>装备研发科 - 外骨骼实验室 - 动力装甲测试组</t>
  </si>
  <si>
    <t>装备研发科 - 外骨骼实验室 - 义体适配组</t>
  </si>
  <si>
    <t>装备研发科 - 武器测试场 - 实弹测试组</t>
  </si>
  <si>
    <t>装备研发科 - 武器测试场 - 能量武器实验组</t>
  </si>
  <si>
    <t>能力等级</t>
  </si>
  <si>
    <t>能力说明</t>
    <phoneticPr fontId="1" type="noConversion"/>
  </si>
  <si>
    <t>预备级，需要资深队员带领</t>
  </si>
  <si>
    <t>训练级，实习人员</t>
  </si>
  <si>
    <t>能力等级代码</t>
    <phoneticPr fontId="1" type="noConversion"/>
  </si>
  <si>
    <t>S级</t>
    <phoneticPr fontId="1" type="noConversion"/>
  </si>
  <si>
    <t>A级</t>
    <phoneticPr fontId="1" type="noConversion"/>
  </si>
  <si>
    <t>B级</t>
    <phoneticPr fontId="1" type="noConversion"/>
  </si>
  <si>
    <t>C级</t>
    <phoneticPr fontId="1" type="noConversion"/>
  </si>
  <si>
    <t>D级</t>
    <phoneticPr fontId="1" type="noConversion"/>
  </si>
  <si>
    <t>CAP</t>
    <phoneticPr fontId="1" type="noConversion"/>
  </si>
  <si>
    <t>自行填写1-999内任何数字或咨询创建者</t>
    <phoneticPr fontId="1" type="noConversion"/>
  </si>
  <si>
    <t xml:space="preserve">特工编号生成 </t>
    <phoneticPr fontId="1" type="noConversion"/>
  </si>
  <si>
    <t>J接三级代码</t>
    <phoneticPr fontId="1" type="noConversion"/>
  </si>
  <si>
    <t>X</t>
    <phoneticPr fontId="1" type="noConversion"/>
  </si>
  <si>
    <t>P</t>
    <phoneticPr fontId="1" type="noConversion"/>
  </si>
  <si>
    <t>阵亡</t>
    <phoneticPr fontId="1" type="noConversion"/>
  </si>
  <si>
    <t>KIA</t>
    <phoneticPr fontId="1" type="noConversion"/>
  </si>
  <si>
    <t>失踪</t>
    <phoneticPr fontId="1" type="noConversion"/>
  </si>
  <si>
    <t>MIA</t>
    <phoneticPr fontId="1" type="noConversion"/>
  </si>
  <si>
    <t>COC八维转穹顶八维</t>
    <phoneticPr fontId="1" type="noConversion"/>
  </si>
  <si>
    <t>STR</t>
    <phoneticPr fontId="1" type="noConversion"/>
  </si>
  <si>
    <t>DEX</t>
    <phoneticPr fontId="1" type="noConversion"/>
  </si>
  <si>
    <t>CON</t>
    <phoneticPr fontId="1" type="noConversion"/>
  </si>
  <si>
    <t>INT</t>
    <phoneticPr fontId="1" type="noConversion"/>
  </si>
  <si>
    <t>POW</t>
    <phoneticPr fontId="1" type="noConversion"/>
  </si>
  <si>
    <t>APP</t>
    <phoneticPr fontId="1" type="noConversion"/>
  </si>
  <si>
    <t>SIZ</t>
    <phoneticPr fontId="1" type="noConversion"/>
  </si>
  <si>
    <t>AST</t>
  </si>
  <si>
    <t>PRC</t>
  </si>
  <si>
    <t>STH</t>
  </si>
  <si>
    <t>SRV</t>
  </si>
  <si>
    <t>HVY</t>
  </si>
  <si>
    <t>TCH</t>
  </si>
  <si>
    <t>SPC</t>
  </si>
  <si>
    <t>EDU</t>
    <phoneticPr fontId="1" type="noConversion"/>
  </si>
  <si>
    <t>技能</t>
  </si>
  <si>
    <t>会计</t>
  </si>
  <si>
    <t>人类学</t>
  </si>
  <si>
    <t>估价</t>
  </si>
  <si>
    <t>考古学</t>
  </si>
  <si>
    <t>杂技</t>
  </si>
  <si>
    <t>乐理</t>
  </si>
  <si>
    <t>吉他</t>
  </si>
  <si>
    <t>魅惑</t>
  </si>
  <si>
    <t>攀爬</t>
  </si>
  <si>
    <t>信用评级</t>
  </si>
  <si>
    <t>克苏鲁神话</t>
  </si>
  <si>
    <t>乔装</t>
  </si>
  <si>
    <t>闪避</t>
  </si>
  <si>
    <t>汽车驾驶</t>
  </si>
  <si>
    <t>电气维修</t>
  </si>
  <si>
    <t>话术</t>
  </si>
  <si>
    <t>弓术</t>
  </si>
  <si>
    <t>急救</t>
  </si>
  <si>
    <t>历史</t>
  </si>
  <si>
    <t>恐吓</t>
  </si>
  <si>
    <t>跳跃</t>
  </si>
  <si>
    <t>母语</t>
  </si>
  <si>
    <t>投掷</t>
  </si>
  <si>
    <t>追踪</t>
  </si>
  <si>
    <t>法律</t>
  </si>
  <si>
    <t>图书馆使用</t>
  </si>
  <si>
    <t>聆听</t>
  </si>
  <si>
    <t>锁匠</t>
  </si>
  <si>
    <t>机械维修</t>
  </si>
  <si>
    <t>医学</t>
  </si>
  <si>
    <t>自然学</t>
  </si>
  <si>
    <t>导航</t>
  </si>
  <si>
    <t>神秘学</t>
  </si>
  <si>
    <t>操作重型机械</t>
  </si>
  <si>
    <t>说服</t>
  </si>
  <si>
    <t>精神分析</t>
  </si>
  <si>
    <t>心理学</t>
  </si>
  <si>
    <t>骑乘</t>
  </si>
  <si>
    <t>生物学</t>
  </si>
  <si>
    <t>天文学</t>
  </si>
  <si>
    <t>妙手</t>
  </si>
  <si>
    <t>侦查</t>
  </si>
  <si>
    <t>潜行</t>
  </si>
  <si>
    <t>生存</t>
  </si>
  <si>
    <t>游泳</t>
  </si>
  <si>
    <t>驯兽</t>
  </si>
  <si>
    <t>潜水</t>
  </si>
  <si>
    <t>爆破</t>
  </si>
  <si>
    <t>读唇</t>
  </si>
  <si>
    <t>催眠</t>
  </si>
  <si>
    <t>炮术</t>
  </si>
  <si>
    <t>计算机使用</t>
  </si>
  <si>
    <t>电子学</t>
  </si>
  <si>
    <t>斗殴</t>
  </si>
  <si>
    <t>剑</t>
  </si>
  <si>
    <t>手枪</t>
  </si>
  <si>
    <t>八维</t>
  </si>
  <si>
    <t>权重</t>
  </si>
  <si>
    <t>推荐科室</t>
    <phoneticPr fontId="1" type="noConversion"/>
  </si>
  <si>
    <t>推荐职位</t>
    <phoneticPr fontId="1" type="noConversion"/>
  </si>
  <si>
    <t>科室</t>
  </si>
  <si>
    <t>突击作战</t>
  </si>
  <si>
    <t>狙击支援</t>
  </si>
  <si>
    <t>潜入行动</t>
  </si>
  <si>
    <t>战术指挥</t>
  </si>
  <si>
    <t>生存探索</t>
  </si>
  <si>
    <t>重装火力</t>
  </si>
  <si>
    <t>技术研发</t>
  </si>
  <si>
    <t>异常处理</t>
  </si>
  <si>
    <t>职位类型</t>
    <phoneticPr fontId="1" type="noConversion"/>
  </si>
  <si>
    <t>空间防卫</t>
  </si>
  <si>
    <t>轨道突击</t>
  </si>
  <si>
    <t>情报回收</t>
  </si>
  <si>
    <t>装备研发</t>
  </si>
  <si>
    <t>爆破行动</t>
  </si>
  <si>
    <t>战术支援</t>
  </si>
  <si>
    <t>战术分析</t>
  </si>
  <si>
    <t>异常研究</t>
  </si>
  <si>
    <t>网络安全</t>
  </si>
  <si>
    <t>数据分析</t>
  </si>
  <si>
    <t>医疗支援</t>
  </si>
  <si>
    <t>心理分析</t>
  </si>
  <si>
    <t>生物安全</t>
  </si>
  <si>
    <t>危机处理</t>
  </si>
  <si>
    <t>火力协调</t>
  </si>
  <si>
    <t>武器研发</t>
  </si>
  <si>
    <t>自动评级</t>
    <phoneticPr fontId="1" type="noConversion"/>
  </si>
  <si>
    <t>心理学70，神秘学65，追踪35，侦察70</t>
    <phoneticPr fontId="1" type="noConversion"/>
  </si>
  <si>
    <t>MIA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</si>
</sst>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22"/>
      <color theme="1"/>
      <name val="黑体"/>
      <family val="3"/>
      <charset val="134"/>
    </font>
    <font>
      <b/>
      <sz val="11"/>
      <color theme="0"/>
      <name val="Noto Sans SC Black"/>
      <family val="2"/>
      <charset val="134"/>
    </font>
    <font>
      <sz val="11"/>
      <color theme="1"/>
      <name val="Noto Sans SC Black"/>
      <family val="2"/>
      <charset val="134"/>
    </font>
    <font>
      <b/>
      <sz val="8"/>
      <color theme="1"/>
      <name val="Noto Sans SC Black"/>
      <family val="2"/>
      <charset val="134"/>
    </font>
    <font>
      <b/>
      <sz val="11"/>
      <color theme="1"/>
      <name val="Noto Sans SC Black"/>
      <family val="2"/>
      <charset val="134"/>
    </font>
    <font>
      <b/>
      <sz val="10"/>
      <color theme="1"/>
      <name val="Noto Sans SC Black"/>
      <family val="2"/>
      <charset val="134"/>
    </font>
    <font>
      <sz val="11"/>
      <color theme="0"/>
      <name val="Noto Sans SC Black"/>
      <family val="2"/>
      <charset val="134"/>
    </font>
    <font>
      <b/>
      <sz val="11"/>
      <color theme="0" tint="-4.9989318521683403E-2"/>
      <name val="Noto Sans SC Black"/>
      <family val="2"/>
      <charset val="134"/>
    </font>
    <font>
      <b/>
      <sz val="12"/>
      <color theme="0" tint="-4.9989318521683403E-2"/>
      <name val="Noto Sans SC Black"/>
      <family val="2"/>
      <charset val="134"/>
    </font>
    <font>
      <sz val="11"/>
      <color theme="0" tint="-4.9989318521683403E-2"/>
      <name val="Noto Sans SC Black"/>
      <family val="2"/>
      <charset val="134"/>
    </font>
    <font>
      <sz val="11"/>
      <color theme="2"/>
      <name val="Noto Sans SC Black"/>
      <family val="2"/>
      <charset val="134"/>
    </font>
    <font>
      <sz val="22"/>
      <color theme="1"/>
      <name val="Noto Sans SC Black"/>
      <family val="2"/>
      <charset val="134"/>
    </font>
    <font>
      <sz val="20"/>
      <color theme="1"/>
      <name val="Noto Sans SC Black"/>
      <family val="2"/>
      <charset val="134"/>
    </font>
    <font>
      <sz val="24"/>
      <color theme="1"/>
      <name val="Noto Sans SC Black"/>
      <family val="2"/>
      <charset val="134"/>
    </font>
    <font>
      <sz val="12"/>
      <color theme="1"/>
      <name val="Noto Sans SC Black"/>
      <family val="2"/>
      <charset val="134"/>
    </font>
    <font>
      <sz val="11"/>
      <color theme="0"/>
      <name val="等线"/>
      <family val="2"/>
      <charset val="134"/>
      <scheme val="minor"/>
    </font>
    <font>
      <b/>
      <sz val="12"/>
      <color indexed="81"/>
      <name val="宋体"/>
      <family val="3"/>
      <charset val="134"/>
    </font>
    <font>
      <sz val="14"/>
      <color theme="1"/>
      <name val="Noto Sans SC Black"/>
      <family val="2"/>
      <charset val="134"/>
    </font>
    <font>
      <b/>
      <sz val="14"/>
      <color theme="0"/>
      <name val="Noto Sans SC Black"/>
      <family val="2"/>
      <charset val="134"/>
    </font>
    <font>
      <sz val="14"/>
      <color theme="0"/>
      <name val="等线"/>
      <family val="2"/>
      <charset val="134"/>
      <scheme val="minor"/>
    </font>
    <font>
      <b/>
      <sz val="10"/>
      <color indexed="81"/>
      <name val="宋体"/>
      <family val="3"/>
      <charset val="134"/>
    </font>
    <font>
      <sz val="9"/>
      <color theme="1"/>
      <name val="Noto Sans SC Black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48118533890809E-2"/>
        <bgColor indexed="64"/>
      </patternFill>
    </fill>
  </fills>
  <borders count="5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thick">
        <color auto="1"/>
      </left>
      <right/>
      <top style="double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38">
    <xf numFmtId="0" fontId="0" fillId="0" borderId="0" xfId="0">
      <alignment vertical="center"/>
    </xf>
    <xf numFmtId="0" fontId="0" fillId="0" borderId="26" xfId="0" applyBorder="1">
      <alignment vertical="center"/>
    </xf>
    <xf numFmtId="0" fontId="0" fillId="0" borderId="32" xfId="0" applyBorder="1">
      <alignment vertical="center"/>
    </xf>
    <xf numFmtId="0" fontId="6" fillId="8" borderId="40" xfId="0" applyFont="1" applyFill="1" applyBorder="1" applyAlignment="1">
      <alignment horizontal="center" vertical="center"/>
    </xf>
    <xf numFmtId="0" fontId="0" fillId="5" borderId="0" xfId="0" applyFill="1">
      <alignment vertical="center"/>
    </xf>
    <xf numFmtId="0" fontId="0" fillId="5" borderId="32" xfId="0" applyFill="1" applyBorder="1">
      <alignment vertical="center"/>
    </xf>
    <xf numFmtId="0" fontId="0" fillId="5" borderId="26" xfId="0" applyFill="1" applyBorder="1">
      <alignment vertical="center"/>
    </xf>
    <xf numFmtId="0" fontId="0" fillId="5" borderId="20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3" xfId="0" applyFill="1" applyBorder="1">
      <alignment vertical="center"/>
    </xf>
    <xf numFmtId="0" fontId="6" fillId="0" borderId="40" xfId="0" applyFont="1" applyBorder="1" applyAlignment="1">
      <alignment horizontal="center" vertical="center"/>
    </xf>
    <xf numFmtId="0" fontId="18" fillId="14" borderId="5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15" borderId="12" xfId="0" applyFont="1" applyFill="1" applyBorder="1" applyAlignment="1">
      <alignment horizontal="center" vertical="center"/>
    </xf>
    <xf numFmtId="0" fontId="6" fillId="15" borderId="24" xfId="0" applyFont="1" applyFill="1" applyBorder="1" applyAlignment="1">
      <alignment horizontal="center" vertical="center"/>
    </xf>
    <xf numFmtId="0" fontId="6" fillId="15" borderId="15" xfId="0" applyFont="1" applyFill="1" applyBorder="1" applyAlignment="1">
      <alignment horizontal="center" vertical="center"/>
    </xf>
    <xf numFmtId="0" fontId="6" fillId="15" borderId="20" xfId="0" applyFont="1" applyFill="1" applyBorder="1" applyAlignment="1">
      <alignment horizontal="center" vertical="center"/>
    </xf>
    <xf numFmtId="0" fontId="6" fillId="15" borderId="28" xfId="0" applyFont="1" applyFill="1" applyBorder="1" applyAlignment="1">
      <alignment horizontal="center" vertical="center"/>
    </xf>
    <xf numFmtId="0" fontId="6" fillId="15" borderId="23" xfId="0" applyFont="1" applyFill="1" applyBorder="1" applyAlignment="1">
      <alignment horizontal="center" vertical="center"/>
    </xf>
    <xf numFmtId="0" fontId="18" fillId="15" borderId="24" xfId="0" applyFont="1" applyFill="1" applyBorder="1" applyAlignment="1">
      <alignment horizontal="center" vertical="center"/>
    </xf>
    <xf numFmtId="0" fontId="18" fillId="15" borderId="15" xfId="0" applyFont="1" applyFill="1" applyBorder="1" applyAlignment="1">
      <alignment horizontal="center" vertical="center"/>
    </xf>
    <xf numFmtId="0" fontId="18" fillId="15" borderId="20" xfId="0" applyFont="1" applyFill="1" applyBorder="1" applyAlignment="1">
      <alignment horizontal="center" vertical="center"/>
    </xf>
    <xf numFmtId="0" fontId="18" fillId="15" borderId="28" xfId="0" applyFont="1" applyFill="1" applyBorder="1" applyAlignment="1">
      <alignment horizontal="center" vertical="center"/>
    </xf>
    <xf numFmtId="0" fontId="18" fillId="15" borderId="23" xfId="0" applyFont="1" applyFill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6" fillId="8" borderId="10" xfId="0" applyFont="1" applyFill="1" applyBorder="1">
      <alignment vertical="center"/>
    </xf>
    <xf numFmtId="0" fontId="6" fillId="8" borderId="11" xfId="0" applyFont="1" applyFill="1" applyBorder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22" fillId="10" borderId="12" xfId="0" applyFont="1" applyFill="1" applyBorder="1" applyAlignment="1">
      <alignment horizontal="center" vertical="center"/>
    </xf>
    <xf numFmtId="0" fontId="23" fillId="10" borderId="24" xfId="0" applyFont="1" applyFill="1" applyBorder="1" applyAlignment="1">
      <alignment horizontal="center" vertical="center"/>
    </xf>
    <xf numFmtId="0" fontId="19" fillId="10" borderId="15" xfId="0" applyFont="1" applyFill="1" applyBorder="1">
      <alignment vertical="center"/>
    </xf>
    <xf numFmtId="0" fontId="23" fillId="10" borderId="20" xfId="0" applyFont="1" applyFill="1" applyBorder="1" applyAlignment="1">
      <alignment horizontal="center" vertical="center"/>
    </xf>
    <xf numFmtId="0" fontId="23" fillId="10" borderId="28" xfId="0" applyFont="1" applyFill="1" applyBorder="1" applyAlignment="1">
      <alignment horizontal="center" vertical="center"/>
    </xf>
    <xf numFmtId="0" fontId="19" fillId="10" borderId="23" xfId="0" applyFont="1" applyFill="1" applyBorder="1">
      <alignment vertical="center"/>
    </xf>
    <xf numFmtId="0" fontId="21" fillId="13" borderId="12" xfId="0" applyFont="1" applyFill="1" applyBorder="1" applyAlignment="1">
      <alignment horizontal="center" vertical="center"/>
    </xf>
    <xf numFmtId="0" fontId="21" fillId="13" borderId="24" xfId="0" applyFont="1" applyFill="1" applyBorder="1" applyAlignment="1">
      <alignment horizontal="center" vertical="center"/>
    </xf>
    <xf numFmtId="0" fontId="21" fillId="13" borderId="1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4" fillId="12" borderId="1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0" fillId="10" borderId="24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10" borderId="28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0" fillId="0" borderId="12" xfId="0" applyBorder="1" applyAlignment="1">
      <alignment horizontal="left" vertical="top"/>
    </xf>
    <xf numFmtId="0" fontId="0" fillId="0" borderId="24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32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8" borderId="41" xfId="0" applyFill="1" applyBorder="1">
      <alignment vertical="center"/>
    </xf>
    <xf numFmtId="0" fontId="0" fillId="8" borderId="43" xfId="0" applyFill="1" applyBorder="1">
      <alignment vertical="center"/>
    </xf>
    <xf numFmtId="0" fontId="0" fillId="0" borderId="43" xfId="0" applyBorder="1">
      <alignment vertical="center"/>
    </xf>
    <xf numFmtId="0" fontId="0" fillId="0" borderId="42" xfId="0" applyBorder="1">
      <alignment vertical="center"/>
    </xf>
    <xf numFmtId="0" fontId="0" fillId="0" borderId="46" xfId="0" applyBorder="1">
      <alignment vertical="center"/>
    </xf>
    <xf numFmtId="0" fontId="0" fillId="0" borderId="28" xfId="0" applyBorder="1">
      <alignment vertical="center"/>
    </xf>
    <xf numFmtId="0" fontId="0" fillId="0" borderId="47" xfId="0" applyBorder="1">
      <alignment vertical="center"/>
    </xf>
    <xf numFmtId="0" fontId="6" fillId="8" borderId="12" xfId="0" applyFont="1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8" borderId="44" xfId="0" applyFont="1" applyFill="1" applyBorder="1" applyAlignment="1">
      <alignment horizontal="center" vertical="center"/>
    </xf>
    <xf numFmtId="0" fontId="6" fillId="8" borderId="45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24" xfId="0" applyBorder="1">
      <alignment vertical="center"/>
    </xf>
    <xf numFmtId="0" fontId="0" fillId="0" borderId="15" xfId="0" applyBorder="1">
      <alignment vertical="center"/>
    </xf>
    <xf numFmtId="0" fontId="0" fillId="0" borderId="32" xfId="0" applyBorder="1">
      <alignment vertical="center"/>
    </xf>
    <xf numFmtId="0" fontId="0" fillId="0" borderId="0" xfId="0">
      <alignment vertical="center"/>
    </xf>
    <xf numFmtId="0" fontId="0" fillId="0" borderId="26" xfId="0" applyBorder="1">
      <alignment vertical="center"/>
    </xf>
    <xf numFmtId="0" fontId="0" fillId="0" borderId="20" xfId="0" applyBorder="1">
      <alignment vertical="center"/>
    </xf>
    <xf numFmtId="0" fontId="0" fillId="0" borderId="23" xfId="0" applyBorder="1">
      <alignment vertical="center"/>
    </xf>
    <xf numFmtId="0" fontId="0" fillId="6" borderId="24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0" xfId="0" applyFill="1">
      <alignment vertical="center"/>
    </xf>
    <xf numFmtId="0" fontId="0" fillId="6" borderId="26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32" xfId="0" applyFill="1" applyBorder="1">
      <alignment vertical="center"/>
    </xf>
    <xf numFmtId="0" fontId="0" fillId="6" borderId="20" xfId="0" applyFill="1" applyBorder="1">
      <alignment vertical="center"/>
    </xf>
    <xf numFmtId="0" fontId="8" fillId="8" borderId="18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8" borderId="16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8" borderId="20" xfId="0" applyFont="1" applyFill="1" applyBorder="1" applyAlignment="1">
      <alignment horizontal="center" vertical="center"/>
    </xf>
    <xf numFmtId="0" fontId="6" fillId="8" borderId="21" xfId="0" applyFont="1" applyFill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6" fillId="8" borderId="13" xfId="0" applyFont="1" applyFill="1" applyBorder="1" applyAlignment="1">
      <alignment horizontal="center" vertical="center"/>
    </xf>
    <xf numFmtId="0" fontId="0" fillId="3" borderId="32" xfId="0" applyFill="1" applyBorder="1">
      <alignment vertical="center"/>
    </xf>
    <xf numFmtId="0" fontId="0" fillId="3" borderId="0" xfId="0" applyFill="1">
      <alignment vertical="center"/>
    </xf>
    <xf numFmtId="0" fontId="0" fillId="3" borderId="26" xfId="0" applyFill="1" applyBorder="1">
      <alignment vertical="center"/>
    </xf>
    <xf numFmtId="0" fontId="0" fillId="3" borderId="20" xfId="0" applyFill="1" applyBorder="1">
      <alignment vertical="center"/>
    </xf>
    <xf numFmtId="0" fontId="0" fillId="3" borderId="28" xfId="0" applyFill="1" applyBorder="1">
      <alignment vertical="center"/>
    </xf>
    <xf numFmtId="0" fontId="0" fillId="3" borderId="23" xfId="0" applyFill="1" applyBorder="1">
      <alignment vertical="center"/>
    </xf>
    <xf numFmtId="0" fontId="13" fillId="6" borderId="12" xfId="0" applyFont="1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6" fillId="8" borderId="18" xfId="0" applyFont="1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2" xfId="0" applyFont="1" applyFill="1" applyBorder="1" applyAlignment="1">
      <alignment horizontal="center" vertical="center"/>
    </xf>
    <xf numFmtId="0" fontId="8" fillId="9" borderId="15" xfId="0" applyFont="1" applyFill="1" applyBorder="1" applyAlignment="1">
      <alignment horizontal="center" vertical="center"/>
    </xf>
    <xf numFmtId="0" fontId="11" fillId="10" borderId="15" xfId="0" applyFont="1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/>
    </xf>
    <xf numFmtId="0" fontId="18" fillId="0" borderId="1" xfId="0" applyFont="1" applyBorder="1">
      <alignment vertical="center"/>
    </xf>
    <xf numFmtId="0" fontId="18" fillId="0" borderId="19" xfId="0" applyFont="1" applyBorder="1">
      <alignment vertical="center"/>
    </xf>
    <xf numFmtId="0" fontId="18" fillId="0" borderId="22" xfId="0" applyFont="1" applyBorder="1">
      <alignment vertical="center"/>
    </xf>
    <xf numFmtId="0" fontId="18" fillId="0" borderId="23" xfId="0" applyFont="1" applyBorder="1">
      <alignment vertical="center"/>
    </xf>
    <xf numFmtId="0" fontId="5" fillId="6" borderId="18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0" borderId="33" xfId="0" applyBorder="1">
      <alignment vertical="center"/>
    </xf>
    <xf numFmtId="0" fontId="12" fillId="7" borderId="12" xfId="0" applyFont="1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8" fillId="0" borderId="9" xfId="0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34" xfId="0" applyBorder="1">
      <alignment vertical="center"/>
    </xf>
    <xf numFmtId="0" fontId="8" fillId="2" borderId="12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8" fillId="2" borderId="32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18" fillId="0" borderId="14" xfId="0" applyFont="1" applyBorder="1">
      <alignment vertical="center"/>
    </xf>
    <xf numFmtId="0" fontId="18" fillId="0" borderId="15" xfId="0" applyFont="1" applyBorder="1">
      <alignment vertical="center"/>
    </xf>
    <xf numFmtId="0" fontId="18" fillId="0" borderId="5" xfId="0" applyFont="1" applyBorder="1">
      <alignment vertical="center"/>
    </xf>
    <xf numFmtId="0" fontId="18" fillId="0" borderId="17" xfId="0" applyFont="1" applyBorder="1">
      <alignment vertical="center"/>
    </xf>
    <xf numFmtId="0" fontId="18" fillId="0" borderId="3" xfId="0" applyFont="1" applyBorder="1">
      <alignment vertical="center"/>
    </xf>
    <xf numFmtId="0" fontId="18" fillId="0" borderId="26" xfId="0" applyFont="1" applyBorder="1">
      <alignment vertical="center"/>
    </xf>
    <xf numFmtId="0" fontId="7" fillId="2" borderId="0" xfId="0" applyFont="1" applyFill="1">
      <alignment vertical="center"/>
    </xf>
    <xf numFmtId="0" fontId="0" fillId="2" borderId="0" xfId="0" applyFill="1">
      <alignment vertical="center"/>
    </xf>
    <xf numFmtId="0" fontId="0" fillId="2" borderId="8" xfId="0" applyFill="1" applyBorder="1">
      <alignment vertical="center"/>
    </xf>
    <xf numFmtId="0" fontId="4" fillId="3" borderId="12" xfId="0" applyFont="1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3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12" xfId="0" applyFill="1" applyBorder="1">
      <alignment vertical="center"/>
    </xf>
    <xf numFmtId="0" fontId="0" fillId="4" borderId="24" xfId="0" applyFill="1" applyBorder="1">
      <alignment vertical="center"/>
    </xf>
    <xf numFmtId="0" fontId="0" fillId="4" borderId="15" xfId="0" applyFill="1" applyBorder="1">
      <alignment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0" fillId="11" borderId="49" xfId="0" applyFill="1" applyBorder="1">
      <alignment vertical="center"/>
    </xf>
    <xf numFmtId="0" fontId="0" fillId="11" borderId="50" xfId="0" applyFill="1" applyBorder="1">
      <alignment vertical="center"/>
    </xf>
    <xf numFmtId="0" fontId="0" fillId="11" borderId="51" xfId="0" applyFill="1" applyBorder="1">
      <alignment vertical="center"/>
    </xf>
    <xf numFmtId="0" fontId="0" fillId="8" borderId="52" xfId="0" applyFill="1" applyBorder="1">
      <alignment vertical="center"/>
    </xf>
    <xf numFmtId="0" fontId="0" fillId="8" borderId="53" xfId="0" applyFill="1" applyBorder="1">
      <alignment vertical="center"/>
    </xf>
    <xf numFmtId="0" fontId="6" fillId="2" borderId="3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0" fontId="5" fillId="6" borderId="35" xfId="0" applyFont="1" applyFill="1" applyBorder="1">
      <alignment vertical="center"/>
    </xf>
    <xf numFmtId="0" fontId="0" fillId="6" borderId="36" xfId="0" applyFill="1" applyBorder="1">
      <alignment vertical="center"/>
    </xf>
    <xf numFmtId="0" fontId="0" fillId="0" borderId="14" xfId="0" applyBorder="1">
      <alignment vertical="center"/>
    </xf>
    <xf numFmtId="0" fontId="8" fillId="2" borderId="35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95854609175493"/>
          <c:y val="0.12299910361712556"/>
          <c:w val="0.79462481262890339"/>
          <c:h val="0.81962274760786769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solidFill>
                <a:schemeClr val="accent2">
                  <a:alpha val="43000"/>
                </a:schemeClr>
              </a:solidFill>
            </a:ln>
            <a:effectLst/>
          </c:spPr>
          <c:cat>
            <c:strRef>
              <c:f>表格主体!$AU$62:$AU$69</c:f>
              <c:strCache>
                <c:ptCount val="8"/>
                <c:pt idx="0">
                  <c:v>AST</c:v>
                </c:pt>
                <c:pt idx="1">
                  <c:v>PRC</c:v>
                </c:pt>
                <c:pt idx="2">
                  <c:v>STH</c:v>
                </c:pt>
                <c:pt idx="3">
                  <c:v>TAC</c:v>
                </c:pt>
                <c:pt idx="4">
                  <c:v>SRV</c:v>
                </c:pt>
                <c:pt idx="5">
                  <c:v>HVY</c:v>
                </c:pt>
                <c:pt idx="6">
                  <c:v>TCH</c:v>
                </c:pt>
                <c:pt idx="7">
                  <c:v>SPC</c:v>
                </c:pt>
              </c:strCache>
            </c:strRef>
          </c:cat>
          <c:val>
            <c:numRef>
              <c:f>表格主体!$AV$62:$AV$69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67-49B9-8466-40B217981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49663"/>
        <c:axId val="27941023"/>
      </c:radarChart>
      <c:catAx>
        <c:axId val="279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941023"/>
        <c:crosses val="autoZero"/>
        <c:auto val="1"/>
        <c:lblAlgn val="ctr"/>
        <c:lblOffset val="100"/>
        <c:noMultiLvlLbl val="0"/>
      </c:catAx>
      <c:valAx>
        <c:axId val="27941023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949663"/>
        <c:crosses val="autoZero"/>
        <c:crossBetween val="between"/>
      </c:valAx>
      <c:spPr>
        <a:solidFill>
          <a:schemeClr val="tx1">
            <a:lumMod val="85000"/>
            <a:lumOff val="15000"/>
          </a:scheme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tx1">
        <a:lumMod val="85000"/>
        <a:lumOff val="15000"/>
      </a:schemeClr>
    </a:solidFill>
    <a:ln w="63500" cap="flat" cmpd="sng" algn="ctr">
      <a:solidFill>
        <a:sysClr val="windowText" lastClr="000000">
          <a:lumMod val="95000"/>
          <a:lumOff val="5000"/>
        </a:sys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5542975734665318"/>
          <c:y val="0.10901009354745923"/>
          <c:w val="0.68914048530669358"/>
          <c:h val="0.82833741912970349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solidFill>
                <a:sysClr val="window" lastClr="FFFFFF"/>
              </a:solidFill>
            </a:ln>
            <a:effectLst/>
          </c:spPr>
          <c:cat>
            <c:strRef>
              <c:f>表格主体!$AU$72:$AU$76</c:f>
              <c:strCache>
                <c:ptCount val="5"/>
                <c:pt idx="0">
                  <c:v>ZGC</c:v>
                </c:pt>
                <c:pt idx="1">
                  <c:v>VACT</c:v>
                </c:pt>
                <c:pt idx="2">
                  <c:v>EVA</c:v>
                </c:pt>
                <c:pt idx="3">
                  <c:v>DSC</c:v>
                </c:pt>
                <c:pt idx="4">
                  <c:v>PET</c:v>
                </c:pt>
              </c:strCache>
            </c:strRef>
          </c:cat>
          <c:val>
            <c:numRef>
              <c:f>表格主体!$AV$72:$AV$76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67-49B9-8466-40B217981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49663"/>
        <c:axId val="27941023"/>
      </c:radarChart>
      <c:catAx>
        <c:axId val="279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941023"/>
        <c:crosses val="autoZero"/>
        <c:auto val="1"/>
        <c:lblAlgn val="ctr"/>
        <c:lblOffset val="100"/>
        <c:noMultiLvlLbl val="0"/>
      </c:catAx>
      <c:valAx>
        <c:axId val="27941023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ysClr val="window" lastClr="FFFFFF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949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tx1">
        <a:lumMod val="85000"/>
        <a:lumOff val="15000"/>
      </a:schemeClr>
    </a:solidFill>
    <a:ln w="63500" cap="flat" cmpd="sng" algn="ctr">
      <a:solidFill>
        <a:srgbClr val="E8E8E8">
          <a:lumMod val="10000"/>
        </a:srgb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859678" cy="427491"/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B2F659A7-C189-20B6-5AD0-1DDE35F60E12}"/>
            </a:ext>
          </a:extLst>
        </xdr:cNvPr>
        <xdr:cNvSpPr txBox="1"/>
      </xdr:nvSpPr>
      <xdr:spPr>
        <a:xfrm>
          <a:off x="0" y="0"/>
          <a:ext cx="4859678" cy="4274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28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Dome Secret Agent</a:t>
          </a:r>
          <a:endParaRPr lang="zh-CN" altLang="en-US" sz="2800">
            <a:solidFill>
              <a:schemeClr val="bg1"/>
            </a:solidFill>
            <a:latin typeface="Segoe UI Black" panose="020B0A02040204020203" pitchFamily="34" charset="0"/>
          </a:endParaRPr>
        </a:p>
      </xdr:txBody>
    </xdr:sp>
    <xdr:clientData/>
  </xdr:oneCellAnchor>
  <xdr:oneCellAnchor>
    <xdr:from>
      <xdr:col>0</xdr:col>
      <xdr:colOff>0</xdr:colOff>
      <xdr:row>2</xdr:row>
      <xdr:rowOff>82177</xdr:rowOff>
    </xdr:from>
    <xdr:ext cx="2579745" cy="283411"/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5F42B4D7-076D-54A7-60EE-971A1DBC36BD}"/>
            </a:ext>
          </a:extLst>
        </xdr:cNvPr>
        <xdr:cNvSpPr txBox="1"/>
      </xdr:nvSpPr>
      <xdr:spPr>
        <a:xfrm>
          <a:off x="0" y="440765"/>
          <a:ext cx="2579745" cy="2834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r>
            <a:rPr lang="en-US" altLang="zh-CN" sz="1100">
              <a:solidFill>
                <a:schemeClr val="bg1"/>
              </a:solidFill>
            </a:rPr>
            <a:t>The First Soldier</a:t>
          </a:r>
          <a:r>
            <a:rPr lang="zh-CN" altLang="en-US" sz="1100">
              <a:solidFill>
                <a:schemeClr val="bg1"/>
              </a:solidFill>
            </a:rPr>
            <a:t>，</a:t>
          </a:r>
          <a:r>
            <a:rPr lang="en-US" altLang="zh-CN" sz="1100">
              <a:solidFill>
                <a:schemeClr val="bg1"/>
              </a:solidFill>
            </a:rPr>
            <a:t>The Last Line of Defense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oneCellAnchor>
  <xdr:oneCellAnchor>
    <xdr:from>
      <xdr:col>14</xdr:col>
      <xdr:colOff>0</xdr:colOff>
      <xdr:row>3</xdr:row>
      <xdr:rowOff>97119</xdr:rowOff>
    </xdr:from>
    <xdr:ext cx="1297406" cy="264560"/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306CA87-FC94-FB92-691D-3EB34C22467F}"/>
            </a:ext>
          </a:extLst>
        </xdr:cNvPr>
        <xdr:cNvSpPr txBox="1"/>
      </xdr:nvSpPr>
      <xdr:spPr>
        <a:xfrm>
          <a:off x="9203765" y="635001"/>
          <a:ext cx="12974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rPr>
            <a:t>File No:DOME-0001</a:t>
          </a:r>
          <a:endParaRPr lang="zh-CN" altLang="en-US" sz="1100">
            <a:solidFill>
              <a:schemeClr val="bg1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11</xdr:col>
      <xdr:colOff>485589</xdr:colOff>
      <xdr:row>2</xdr:row>
      <xdr:rowOff>7471</xdr:rowOff>
    </xdr:from>
    <xdr:ext cx="3065068" cy="270898"/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EC6C9D1E-5258-D36E-995D-CD5D6E61175E}"/>
            </a:ext>
          </a:extLst>
        </xdr:cNvPr>
        <xdr:cNvSpPr txBox="1"/>
      </xdr:nvSpPr>
      <xdr:spPr>
        <a:xfrm>
          <a:off x="7717118" y="366059"/>
          <a:ext cx="3065068" cy="2708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600">
              <a:solidFill>
                <a:schemeClr val="bg1"/>
              </a:solidFill>
              <a:latin typeface="Cascadia Code SemiBold" panose="020B0609020000020004" pitchFamily="49" charset="0"/>
              <a:ea typeface="Cascadia Code SemiBold" panose="020B0609020000020004" pitchFamily="49" charset="0"/>
              <a:cs typeface="Cascadia Code SemiBold" panose="020B0609020000020004" pitchFamily="49" charset="0"/>
            </a:rPr>
            <a:t>CLASSIFIED</a:t>
          </a:r>
          <a:r>
            <a:rPr lang="en-US" altLang="zh-CN" sz="1600" baseline="0">
              <a:solidFill>
                <a:schemeClr val="bg1"/>
              </a:solidFill>
              <a:latin typeface="Cascadia Code SemiBold" panose="020B0609020000020004" pitchFamily="49" charset="0"/>
              <a:ea typeface="Cascadia Code SemiBold" panose="020B0609020000020004" pitchFamily="49" charset="0"/>
              <a:cs typeface="Cascadia Code SemiBold" panose="020B0609020000020004" pitchFamily="49" charset="0"/>
            </a:rPr>
            <a:t> LEVEL:ALPHA</a:t>
          </a:r>
          <a:endParaRPr lang="zh-CN" altLang="en-US" sz="1600">
            <a:solidFill>
              <a:schemeClr val="bg1"/>
            </a:solidFill>
            <a:latin typeface="Cascadia Code SemiBold" panose="020B0609020000020004" pitchFamily="49" charset="0"/>
            <a:cs typeface="Cascadia Code SemiBold" panose="020B0609020000020004" pitchFamily="49" charset="0"/>
          </a:endParaRPr>
        </a:p>
      </xdr:txBody>
    </xdr:sp>
    <xdr:clientData/>
  </xdr:oneCellAnchor>
  <xdr:twoCellAnchor>
    <xdr:from>
      <xdr:col>12</xdr:col>
      <xdr:colOff>658091</xdr:colOff>
      <xdr:row>6</xdr:row>
      <xdr:rowOff>176069</xdr:rowOff>
    </xdr:from>
    <xdr:to>
      <xdr:col>16</xdr:col>
      <xdr:colOff>2887</xdr:colOff>
      <xdr:row>13</xdr:row>
      <xdr:rowOff>5522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81984879-6B7C-AF20-0818-DB21A9742E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410" t="7915" r="5626" b="11418"/>
        <a:stretch>
          <a:fillRect/>
        </a:stretch>
      </xdr:blipFill>
      <xdr:spPr>
        <a:xfrm>
          <a:off x="8589818" y="1261342"/>
          <a:ext cx="1988705" cy="1122544"/>
        </a:xfrm>
        <a:prstGeom prst="rect">
          <a:avLst/>
        </a:prstGeom>
      </xdr:spPr>
    </xdr:pic>
    <xdr:clientData/>
  </xdr:twoCellAnchor>
  <xdr:oneCellAnchor>
    <xdr:from>
      <xdr:col>2</xdr:col>
      <xdr:colOff>399339</xdr:colOff>
      <xdr:row>69</xdr:row>
      <xdr:rowOff>114096</xdr:rowOff>
    </xdr:from>
    <xdr:ext cx="3982757" cy="1399357"/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76951D2E-9F08-4174-369B-FFD58037A2D7}"/>
            </a:ext>
          </a:extLst>
        </xdr:cNvPr>
        <xdr:cNvSpPr txBox="1"/>
      </xdr:nvSpPr>
      <xdr:spPr>
        <a:xfrm>
          <a:off x="1723768" y="13158810"/>
          <a:ext cx="3982757" cy="13993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900">
              <a:solidFill>
                <a:schemeClr val="bg1"/>
              </a:solidFill>
            </a:rPr>
            <a:t>---</a:t>
          </a:r>
        </a:p>
        <a:p>
          <a:r>
            <a:rPr lang="en-US" altLang="zh-CN" sz="800">
              <a:solidFill>
                <a:schemeClr val="bg1"/>
              </a:solidFill>
            </a:rPr>
            <a:t>HANDLING INSTRUCTIONS:</a:t>
          </a:r>
        </a:p>
        <a:p>
          <a:r>
            <a:rPr lang="en-US" altLang="zh-CN" sz="800">
              <a:solidFill>
                <a:schemeClr val="bg1"/>
              </a:solidFill>
            </a:rPr>
            <a:t>This document is the property of [REDACTED].</a:t>
          </a:r>
        </a:p>
        <a:p>
          <a:r>
            <a:rPr lang="en-US" altLang="zh-CN" sz="800">
              <a:solidFill>
                <a:schemeClr val="bg1"/>
              </a:solidFill>
            </a:rPr>
            <a:t>Unauthorized possession or distribution is a violation of Section 3 of the National Security Act.</a:t>
          </a:r>
        </a:p>
        <a:p>
          <a:endParaRPr lang="en-US" altLang="zh-CN" sz="1050">
            <a:solidFill>
              <a:schemeClr val="bg1"/>
            </a:solidFill>
          </a:endParaRPr>
        </a:p>
        <a:p>
          <a:r>
            <a:rPr lang="en-US" altLang="zh-CN" sz="1000">
              <a:solidFill>
                <a:schemeClr val="bg1"/>
              </a:solidFill>
            </a:rPr>
            <a:t>UPON COMPLETION OF REVIEW, PLEASE:</a:t>
          </a:r>
        </a:p>
        <a:p>
          <a:r>
            <a:rPr lang="en-US" altLang="zh-CN" sz="1000">
              <a:solidFill>
                <a:schemeClr val="bg1"/>
              </a:solidFill>
            </a:rPr>
            <a:t>[ ] RETURN TO ARCHIVES (LEVEL 4 CLEARANCE REQUIRED)</a:t>
          </a:r>
        </a:p>
        <a:p>
          <a:r>
            <a:rPr lang="en-US" altLang="zh-CN" sz="1000">
              <a:solidFill>
                <a:schemeClr val="bg1"/>
              </a:solidFill>
            </a:rPr>
            <a:t>[ X ] DESTROY VIA CROSS-CUT SHREDDER / INCINERATION</a:t>
          </a:r>
        </a:p>
        <a:p>
          <a:r>
            <a:rPr lang="en-US" altLang="zh-CN" sz="1000">
              <a:solidFill>
                <a:schemeClr val="bg1"/>
              </a:solidFill>
            </a:rPr>
            <a:t>[ ] TRANSMIT TO [REDACTED] VIA SECURE EYES ONLY CHANNEL</a:t>
          </a:r>
        </a:p>
      </xdr:txBody>
    </xdr:sp>
    <xdr:clientData/>
  </xdr:oneCellAnchor>
  <xdr:oneCellAnchor>
    <xdr:from>
      <xdr:col>11</xdr:col>
      <xdr:colOff>478118</xdr:colOff>
      <xdr:row>75</xdr:row>
      <xdr:rowOff>89647</xdr:rowOff>
    </xdr:from>
    <xdr:ext cx="2659702" cy="609013"/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69BFA1E0-551F-1B3C-9F20-470423CEA68D}"/>
            </a:ext>
          </a:extLst>
        </xdr:cNvPr>
        <xdr:cNvSpPr txBox="1"/>
      </xdr:nvSpPr>
      <xdr:spPr>
        <a:xfrm>
          <a:off x="7709647" y="14313647"/>
          <a:ext cx="2659702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INITIALS OF VERIFYING OFFICER: __________</a:t>
          </a:r>
          <a:endParaRPr lang="zh-CN" altLang="zh-CN">
            <a:solidFill>
              <a:schemeClr val="bg1"/>
            </a:solidFill>
            <a:effectLst/>
          </a:endParaRPr>
        </a:p>
        <a:p>
          <a:r>
            <a:rPr lang="en-US" altLang="zh-CN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</a:t>
          </a:r>
          <a:endParaRPr lang="zh-CN" altLang="zh-CN">
            <a:solidFill>
              <a:schemeClr val="bg1"/>
            </a:solidFill>
            <a:effectLst/>
          </a:endParaRPr>
        </a:p>
        <a:p>
          <a:endParaRPr lang="zh-CN" altLang="en-US" sz="1100"/>
        </a:p>
      </xdr:txBody>
    </xdr:sp>
    <xdr:clientData/>
  </xdr:oneCellAnchor>
  <xdr:twoCellAnchor>
    <xdr:from>
      <xdr:col>11</xdr:col>
      <xdr:colOff>26738</xdr:colOff>
      <xdr:row>20</xdr:row>
      <xdr:rowOff>37353</xdr:rowOff>
    </xdr:from>
    <xdr:to>
      <xdr:col>15</xdr:col>
      <xdr:colOff>627744</xdr:colOff>
      <xdr:row>36</xdr:row>
      <xdr:rowOff>44822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4335F918-3FBC-394A-297B-06441FA560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9072</xdr:colOff>
      <xdr:row>37</xdr:row>
      <xdr:rowOff>169182</xdr:rowOff>
    </xdr:from>
    <xdr:to>
      <xdr:col>15</xdr:col>
      <xdr:colOff>653143</xdr:colOff>
      <xdr:row>52</xdr:row>
      <xdr:rowOff>178254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1974CB90-43D1-517A-724F-5FB1ED9E47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h3txnw4p">
    <a:dk1>
      <a:srgbClr val="000000"/>
    </a:dk1>
    <a:lt1>
      <a:srgbClr val="FFFFFF"/>
    </a:lt1>
    <a:dk2>
      <a:srgbClr val="44546A"/>
    </a:dk2>
    <a:lt2>
      <a:srgbClr val="E7E6E6"/>
    </a:lt2>
    <a:accent1>
      <a:srgbClr val="FDA781"/>
    </a:accent1>
    <a:accent2>
      <a:srgbClr val="97B190"/>
    </a:accent2>
    <a:accent3>
      <a:srgbClr val="E1D49D"/>
    </a:accent3>
    <a:accent4>
      <a:srgbClr val="FC8F8D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Plus">
    <a:majorFont>
      <a:latin typeface="Arial"/>
      <a:ea typeface="微软雅黑"/>
      <a:cs typeface=""/>
    </a:majorFont>
    <a:minorFont>
      <a:latin typeface="Arial"/>
      <a:ea typeface="微软雅黑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FFA63-BFC4-44A8-8324-ADE3C8C91647}">
  <dimension ref="A1:AW79"/>
  <sheetViews>
    <sheetView tabSelected="1" zoomScale="70" zoomScaleNormal="70" workbookViewId="0">
      <selection sqref="A1:P5"/>
    </sheetView>
  </sheetViews>
  <sheetFormatPr defaultRowHeight="14" x14ac:dyDescent="0.3"/>
  <cols>
    <col min="18" max="19" width="11.1640625" bestFit="1" customWidth="1"/>
  </cols>
  <sheetData>
    <row r="1" spans="1:25" ht="14.5" customHeight="1" thickTop="1" x14ac:dyDescent="0.3">
      <c r="A1" s="198" t="e" vm="1">
        <v>#VALUE!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200"/>
      <c r="R1" s="51" t="s">
        <v>338</v>
      </c>
      <c r="S1" s="52"/>
      <c r="T1" s="52"/>
      <c r="U1" s="52"/>
      <c r="V1" s="53"/>
    </row>
    <row r="2" spans="1:25" ht="14.5" thickBot="1" x14ac:dyDescent="0.35">
      <c r="A2" s="201"/>
      <c r="B2" s="202"/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3"/>
      <c r="R2" s="54"/>
      <c r="S2" s="55"/>
      <c r="T2" s="55"/>
      <c r="U2" s="55"/>
      <c r="V2" s="56"/>
    </row>
    <row r="3" spans="1:25" ht="14.5" customHeight="1" thickTop="1" x14ac:dyDescent="0.3">
      <c r="A3" s="201"/>
      <c r="B3" s="202"/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3"/>
      <c r="R3" s="57" t="str">
        <f>_xlfn.XLOOKUP(J16,DATA1!D:D,DATA1!E:E)</f>
        <v>ERD</v>
      </c>
      <c r="S3" s="57" t="str">
        <f>_xlfn.XLOOKUP(J16,DATA1!D:D,DATA1!H:H)</f>
        <v>CI</v>
      </c>
      <c r="T3" s="59" t="str">
        <f>M10</f>
        <v>D</v>
      </c>
      <c r="U3" s="61" t="s">
        <v>451</v>
      </c>
      <c r="V3" s="59" t="s">
        <v>337</v>
      </c>
    </row>
    <row r="4" spans="1:25" ht="14" customHeight="1" thickBot="1" x14ac:dyDescent="0.35">
      <c r="A4" s="201"/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3"/>
      <c r="R4" s="58"/>
      <c r="S4" s="58"/>
      <c r="T4" s="60"/>
      <c r="U4" s="62"/>
      <c r="V4" s="60"/>
    </row>
    <row r="5" spans="1:25" ht="15" thickTop="1" thickBot="1" x14ac:dyDescent="0.35">
      <c r="A5" s="201"/>
      <c r="B5" s="202"/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3"/>
    </row>
    <row r="6" spans="1:25" ht="14.5" thickTop="1" x14ac:dyDescent="0.3">
      <c r="A6" s="204" t="s">
        <v>43</v>
      </c>
      <c r="B6" s="205"/>
      <c r="C6" s="205"/>
      <c r="D6" s="211" t="s">
        <v>9</v>
      </c>
      <c r="E6" s="212"/>
      <c r="F6" s="215"/>
      <c r="G6" s="216"/>
      <c r="H6" s="173" t="s">
        <v>12</v>
      </c>
      <c r="I6" s="174"/>
      <c r="J6" s="189"/>
      <c r="K6" s="190"/>
      <c r="L6" s="237" t="s">
        <v>51</v>
      </c>
      <c r="M6" s="117"/>
      <c r="N6" s="147" t="s">
        <v>48</v>
      </c>
      <c r="O6" s="52"/>
      <c r="P6" s="53"/>
      <c r="R6" s="40" t="s">
        <v>346</v>
      </c>
      <c r="S6" s="41"/>
      <c r="T6" s="41"/>
      <c r="U6" s="41"/>
      <c r="V6" s="41"/>
      <c r="W6" s="41"/>
      <c r="X6" s="41"/>
      <c r="Y6" s="42"/>
    </row>
    <row r="7" spans="1:25" ht="14.5" thickBot="1" x14ac:dyDescent="0.35">
      <c r="A7" s="206"/>
      <c r="B7" s="207"/>
      <c r="C7" s="207"/>
      <c r="D7" s="213"/>
      <c r="E7" s="214"/>
      <c r="F7" s="217"/>
      <c r="G7" s="218"/>
      <c r="H7" s="175"/>
      <c r="I7" s="176"/>
      <c r="J7" s="191"/>
      <c r="K7" s="192"/>
      <c r="L7" s="178"/>
      <c r="M7" s="118"/>
      <c r="N7" s="54"/>
      <c r="O7" s="55"/>
      <c r="P7" s="56"/>
      <c r="R7" s="43"/>
      <c r="S7" s="44"/>
      <c r="T7" s="44"/>
      <c r="U7" s="44"/>
      <c r="V7" s="44"/>
      <c r="W7" s="44"/>
      <c r="X7" s="44"/>
      <c r="Y7" s="45"/>
    </row>
    <row r="8" spans="1:25" ht="14.5" customHeight="1" thickTop="1" thickBot="1" x14ac:dyDescent="0.35">
      <c r="A8" s="206"/>
      <c r="B8" s="207"/>
      <c r="C8" s="207"/>
      <c r="D8" s="219" t="s">
        <v>10</v>
      </c>
      <c r="E8" s="220"/>
      <c r="F8" s="228"/>
      <c r="G8" s="229"/>
      <c r="H8" s="182" t="s">
        <v>13</v>
      </c>
      <c r="I8" s="183"/>
      <c r="J8" s="148"/>
      <c r="K8" s="149"/>
      <c r="L8" s="177" t="s">
        <v>52</v>
      </c>
      <c r="M8" s="119"/>
      <c r="N8" s="94"/>
      <c r="O8" s="95"/>
      <c r="P8" s="96"/>
      <c r="R8" s="11" t="s">
        <v>347</v>
      </c>
      <c r="S8" s="11" t="s">
        <v>348</v>
      </c>
      <c r="T8" s="11" t="s">
        <v>349</v>
      </c>
      <c r="U8" s="11" t="s">
        <v>350</v>
      </c>
      <c r="V8" s="11" t="s">
        <v>351</v>
      </c>
      <c r="W8" s="11" t="s">
        <v>352</v>
      </c>
      <c r="X8" s="11" t="s">
        <v>353</v>
      </c>
      <c r="Y8" s="11" t="s">
        <v>361</v>
      </c>
    </row>
    <row r="9" spans="1:25" ht="14.5" thickTop="1" x14ac:dyDescent="0.3">
      <c r="A9" s="206"/>
      <c r="B9" s="207"/>
      <c r="C9" s="207"/>
      <c r="D9" s="213"/>
      <c r="E9" s="214"/>
      <c r="F9" s="217"/>
      <c r="G9" s="218"/>
      <c r="H9" s="175"/>
      <c r="I9" s="176"/>
      <c r="J9" s="191"/>
      <c r="K9" s="192"/>
      <c r="L9" s="178"/>
      <c r="M9" s="118"/>
      <c r="N9" s="97"/>
      <c r="O9" s="98"/>
      <c r="P9" s="99"/>
      <c r="R9" s="38">
        <v>90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50</v>
      </c>
    </row>
    <row r="10" spans="1:25" ht="14.5" customHeight="1" thickBot="1" x14ac:dyDescent="0.35">
      <c r="A10" s="206"/>
      <c r="B10" s="207"/>
      <c r="C10" s="207"/>
      <c r="D10" s="219" t="s">
        <v>11</v>
      </c>
      <c r="E10" s="220"/>
      <c r="F10" s="228"/>
      <c r="G10" s="229"/>
      <c r="H10" s="182" t="s">
        <v>59</v>
      </c>
      <c r="I10" s="183"/>
      <c r="J10" s="148"/>
      <c r="K10" s="149"/>
      <c r="L10" s="177" t="s">
        <v>336</v>
      </c>
      <c r="M10" s="180" t="s">
        <v>221</v>
      </c>
      <c r="N10" s="97"/>
      <c r="O10" s="98"/>
      <c r="P10" s="99"/>
      <c r="R10" s="39"/>
      <c r="S10" s="39"/>
      <c r="T10" s="39"/>
      <c r="U10" s="39"/>
      <c r="V10" s="39"/>
      <c r="W10" s="39"/>
      <c r="X10" s="39"/>
      <c r="Y10" s="39"/>
    </row>
    <row r="11" spans="1:25" ht="14.5" thickTop="1" x14ac:dyDescent="0.3">
      <c r="A11" s="206"/>
      <c r="B11" s="207"/>
      <c r="C11" s="207"/>
      <c r="D11" s="213"/>
      <c r="E11" s="214"/>
      <c r="F11" s="217"/>
      <c r="G11" s="218"/>
      <c r="H11" s="175"/>
      <c r="I11" s="176"/>
      <c r="J11" s="193"/>
      <c r="K11" s="194"/>
      <c r="L11" s="178"/>
      <c r="M11" s="181"/>
      <c r="N11" s="97"/>
      <c r="O11" s="98"/>
      <c r="P11" s="99"/>
      <c r="R11" s="46" t="s">
        <v>450</v>
      </c>
      <c r="S11" s="47"/>
      <c r="T11" s="47"/>
      <c r="U11" s="47"/>
      <c r="V11" s="47"/>
      <c r="W11" s="47"/>
      <c r="X11" s="47"/>
      <c r="Y11" s="48"/>
    </row>
    <row r="12" spans="1:25" ht="14.5" customHeight="1" thickBot="1" x14ac:dyDescent="0.35">
      <c r="A12" s="206"/>
      <c r="B12" s="207"/>
      <c r="C12" s="207"/>
      <c r="D12" s="219" t="s">
        <v>55</v>
      </c>
      <c r="E12" s="220"/>
      <c r="F12" s="228"/>
      <c r="G12" s="229"/>
      <c r="H12" s="184" t="s">
        <v>60</v>
      </c>
      <c r="I12" s="185"/>
      <c r="J12" s="148"/>
      <c r="K12" s="149"/>
      <c r="L12" s="177" t="s">
        <v>53</v>
      </c>
      <c r="M12" s="119"/>
      <c r="N12" s="2"/>
      <c r="P12" s="1"/>
      <c r="R12" s="33"/>
      <c r="S12" s="34"/>
      <c r="T12" s="34"/>
      <c r="U12" s="34"/>
      <c r="V12" s="34"/>
      <c r="W12" s="34"/>
      <c r="X12" s="34"/>
      <c r="Y12" s="35"/>
    </row>
    <row r="13" spans="1:25" ht="14.5" customHeight="1" thickTop="1" thickBot="1" x14ac:dyDescent="0.35">
      <c r="A13" s="206"/>
      <c r="B13" s="207"/>
      <c r="C13" s="207"/>
      <c r="D13" s="213"/>
      <c r="E13" s="214"/>
      <c r="F13" s="217"/>
      <c r="G13" s="218"/>
      <c r="H13" s="186"/>
      <c r="I13" s="185"/>
      <c r="J13" s="193"/>
      <c r="K13" s="194"/>
      <c r="L13" s="178"/>
      <c r="M13" s="118"/>
      <c r="N13" s="2"/>
      <c r="P13" s="1"/>
      <c r="R13" s="11" t="s">
        <v>187</v>
      </c>
      <c r="S13" s="11" t="s">
        <v>188</v>
      </c>
      <c r="T13" s="11" t="s">
        <v>189</v>
      </c>
      <c r="U13" s="11" t="s">
        <v>194</v>
      </c>
      <c r="V13" s="11" t="s">
        <v>190</v>
      </c>
      <c r="W13" s="11" t="s">
        <v>191</v>
      </c>
      <c r="X13" s="11" t="s">
        <v>192</v>
      </c>
      <c r="Y13" s="11" t="s">
        <v>193</v>
      </c>
    </row>
    <row r="14" spans="1:25" ht="14.5" customHeight="1" thickTop="1" x14ac:dyDescent="0.3">
      <c r="A14" s="206"/>
      <c r="B14" s="207"/>
      <c r="C14" s="207"/>
      <c r="D14" s="219" t="s">
        <v>56</v>
      </c>
      <c r="E14" s="220"/>
      <c r="F14" s="228"/>
      <c r="G14" s="229"/>
      <c r="H14" s="182" t="s">
        <v>61</v>
      </c>
      <c r="I14" s="183"/>
      <c r="J14" s="148"/>
      <c r="K14" s="149"/>
      <c r="L14" s="177" t="s">
        <v>54</v>
      </c>
      <c r="M14" s="119"/>
      <c r="N14" s="152" t="s">
        <v>49</v>
      </c>
      <c r="O14" s="153"/>
      <c r="P14" s="155">
        <v>1</v>
      </c>
      <c r="R14" s="49" cm="1">
        <f t="array" ref="R14">_xlfn.LET(
_xlpm.t,_xlfn.TEXTSPLIT(SUBSTITUTE($R$11,",","，"),"，"),
_xlpm.name,LEFT(_xlpm.t,LEN(_xlpm.t)-2),
_xlpm.val,VALUE(RIGHT(_xlpm.t,2)),
_xlpm.dim,_xlfn.XLOOKUP(_xlpm.name,SKILLMAP!A:A,SKILLMAP!B:B,""),
_xlpm.w,_xlfn.XLOOKUP(_xlpm.name,SKILLMAP!A:A,SKILLMAP!C:C,0),
_xlpm.skill,SUM(IF(_xlpm.dim="AST",_xlpm.val*_xlpm.w/10,0)),
_xlpm.base,(R9*0.4+S9*0.4+T9*0.2)/4,
_xlpm.base+_xlpm.skill
)</f>
        <v>9</v>
      </c>
      <c r="S14" s="49" cm="1">
        <f t="array" ref="S14">_xlfn.LET(
_xlpm.t,_xlfn.TEXTSPLIT(SUBSTITUTE($R$11,",","，"),"，"),
_xlpm.name,LEFT(_xlpm.t,LEN(_xlpm.t)-2),
_xlpm.val,VALUE(RIGHT(_xlpm.t,2)),
_xlpm.dim,_xlfn.XLOOKUP(_xlpm.name,SKILLMAP!A:A,SKILLMAP!B:B,""),
_xlpm.w,_xlfn.XLOOKUP(_xlpm.name,SKILLMAP!A:A,SKILLMAP!C:C,0),
_xlpm.skill,SUM(IF(_xlpm.dim="PRC",_xlpm.val*_xlpm.w/10,0)),
_xlpm.base,(S9*0.6+U9*0.4)/4,
_xlpm.base+_xlpm.skill
)</f>
        <v>0</v>
      </c>
      <c r="T14" s="49" cm="1">
        <f t="array" ref="T14">_xlfn.LET(
_xlpm.t,_xlfn.TEXTSPLIT(SUBSTITUTE($R$11,",","，"),"，"),
_xlpm.name,LEFT(_xlpm.t,LEN(_xlpm.t)-2),
_xlpm.val,VALUE(RIGHT(_xlpm.t,2)),
_xlpm.dim,_xlfn.XLOOKUP(_xlpm.name,SKILLMAP!A:A,SKILLMAP!B:B,""),
_xlpm.w,_xlfn.XLOOKUP(_xlpm.name,SKILLMAP!A:A,SKILLMAP!C:C,0),
_xlpm.skill,SUM(IF(_xlpm.dim="STH",_xlpm.val*_xlpm.w/10,0)),
_xlpm.base,(S9*0.5+U9*0.3+W9*0.2)/4,
_xlpm.base+_xlpm.skill
)</f>
        <v>1.4</v>
      </c>
      <c r="U14" s="49" cm="1">
        <f t="array" ref="U14">_xlfn.LET(
_xlpm.t,_xlfn.TEXTSPLIT(SUBSTITUTE($R$11,",","，"),"，"),
_xlpm.name,LEFT(_xlpm.t,LEN(_xlpm.t)-2),
_xlpm.val,VALUE(RIGHT(_xlpm.t,2)),
_xlpm.dim,_xlfn.XLOOKUP(_xlpm.name,SKILLMAP!A:A,SKILLMAP!B:B,""),
_xlpm.w,_xlfn.XLOOKUP(_xlpm.name,SKILLMAP!A:A,SKILLMAP!C:C,0),
_xlpm.skill,SUM(IF(_xlpm.dim="TAC",_xlpm.val*_xlpm.w/10,0)),
_xlpm.base,(U9*0.4+Y9*0.4+V9*0.2)/4,
_xlpm.base+_xlpm.skill
)</f>
        <v>7.1</v>
      </c>
      <c r="V14" s="49" cm="1">
        <f t="array" ref="V14">_xlfn.LET(
_xlpm.t,_xlfn.TEXTSPLIT(SUBSTITUTE($R$11,",","，"),"，"),
_xlpm.name,LEFT(_xlpm.t,LEN(_xlpm.t)-2),
_xlpm.val,VALUE(RIGHT(_xlpm.t,2)),
_xlpm.dim,_xlfn.XLOOKUP(_xlpm.name,SKILLMAP!A:A,SKILLMAP!B:B,""),
_xlpm.w,_xlfn.XLOOKUP(_xlpm.name,SKILLMAP!A:A,SKILLMAP!C:C,0),
_xlpm.skill,SUM(IF(_xlpm.dim="SRV",_xlpm.val*_xlpm.w/10,0)),
_xlpm.base,(T9*0.4+V9*0.3+X9*0.3)/4,
_xlpm.base+_xlpm.skill
)</f>
        <v>0</v>
      </c>
      <c r="W14" s="49" cm="1">
        <f t="array" ref="W14">_xlfn.LET(
_xlpm.t,_xlfn.TEXTSPLIT(SUBSTITUTE($R$11,",","，"),"，"),
_xlpm.name,LEFT(_xlpm.t,LEN(_xlpm.t)-2),
_xlpm.val,VALUE(RIGHT(_xlpm.t,2)),
_xlpm.dim,_xlfn.XLOOKUP(_xlpm.name,SKILLMAP!A:A,SKILLMAP!B:B,""),
_xlpm.w,_xlfn.XLOOKUP(_xlpm.name,SKILLMAP!A:A,SKILLMAP!C:C,0),
_xlpm.skill,SUM(IF(_xlpm.dim="HVY",_xlpm.val*_xlpm.w/10,0)),
_xlpm.base,(R9*0.4+X9*0.4+Y9*0.2)/4,
_xlpm.base+_xlpm.skill
)</f>
        <v>11.5</v>
      </c>
      <c r="X14" s="49" cm="1">
        <f t="array" ref="X14">_xlfn.LET(
_xlpm.t,_xlfn.TEXTSPLIT(SUBSTITUTE($R$11,",","，"),"，"),
_xlpm.name,LEFT(_xlpm.t,LEN(_xlpm.t)-2),
_xlpm.val,VALUE(RIGHT(_xlpm.t,2)),
_xlpm.dim,_xlfn.XLOOKUP(_xlpm.name,SKILLMAP!A:A,SKILLMAP!B:B,""),
_xlpm.w,_xlfn.XLOOKUP(_xlpm.name,SKILLMAP!A:A,SKILLMAP!C:C,0),
_xlpm.skill,SUM(IF(_xlpm.dim="TCH",_xlpm.val*_xlpm.w/10,0)),
_xlpm.base,(U9*0.5+Y9*0.5)/4,
_xlpm.base+_xlpm.skill
)</f>
        <v>6.25</v>
      </c>
      <c r="Y14" s="49" cm="1">
        <f t="array" ref="Y14">_xlfn.LET(
_xlpm.t,_xlfn.TEXTSPLIT(SUBSTITUTE($R$11,",","，"),"，"),
_xlpm.name,LEFT(_xlpm.t,LEN(_xlpm.t)-2),
_xlpm.val,VALUE(RIGHT(_xlpm.t,2)),
_xlpm.dim,_xlfn.XLOOKUP(_xlpm.name,SKILLMAP!A:A,SKILLMAP!B:B,""),
_xlpm.w,_xlfn.XLOOKUP(_xlpm.name,SKILLMAP!A:A,SKILLMAP!C:C,0),
_xlpm.skill,SUM(IF(_xlpm.dim="SPC",_xlpm.val*_xlpm.w/10,0)),
_xlpm.base,(V9*0.5+U9*0.3+W9*0.2)/4,
_xlpm.base+_xlpm.skill
)</f>
        <v>2.6</v>
      </c>
    </row>
    <row r="15" spans="1:25" ht="14.5" customHeight="1" thickBot="1" x14ac:dyDescent="0.35">
      <c r="A15" s="206"/>
      <c r="B15" s="207"/>
      <c r="C15" s="207"/>
      <c r="D15" s="213"/>
      <c r="E15" s="214"/>
      <c r="F15" s="217"/>
      <c r="G15" s="218"/>
      <c r="H15" s="187"/>
      <c r="I15" s="188"/>
      <c r="J15" s="150"/>
      <c r="K15" s="151"/>
      <c r="L15" s="179"/>
      <c r="M15" s="120"/>
      <c r="N15" s="131"/>
      <c r="O15" s="154"/>
      <c r="P15" s="155"/>
      <c r="R15" s="50"/>
      <c r="S15" s="50"/>
      <c r="T15" s="50"/>
      <c r="U15" s="50"/>
      <c r="V15" s="50"/>
      <c r="W15" s="50"/>
      <c r="X15" s="50"/>
      <c r="Y15" s="50"/>
    </row>
    <row r="16" spans="1:25" ht="14.5" thickTop="1" x14ac:dyDescent="0.3">
      <c r="A16" s="206"/>
      <c r="B16" s="207"/>
      <c r="C16" s="207"/>
      <c r="D16" s="219" t="s">
        <v>57</v>
      </c>
      <c r="E16" s="220"/>
      <c r="F16" s="228"/>
      <c r="G16" s="230"/>
      <c r="H16" s="195" t="s">
        <v>44</v>
      </c>
      <c r="I16" s="196"/>
      <c r="J16" s="196" t="str">
        <f>I18 &amp; " - " &amp; K18 &amp; " - " &amp; M18</f>
        <v>装备研发科 - 外骨骼实验室 - 义体适配组</v>
      </c>
      <c r="K16" s="196"/>
      <c r="L16" s="196"/>
      <c r="M16" s="196"/>
      <c r="N16" s="234" t="s">
        <v>50</v>
      </c>
      <c r="O16" s="236" t="s">
        <v>174</v>
      </c>
      <c r="P16" s="96"/>
      <c r="R16" s="13" t="s">
        <v>421</v>
      </c>
      <c r="S16" s="14"/>
      <c r="T16" s="15"/>
      <c r="U16" s="13" t="s">
        <v>422</v>
      </c>
      <c r="V16" s="19"/>
      <c r="W16" s="19"/>
      <c r="X16" s="20"/>
      <c r="Y16" s="36" t="s">
        <v>449</v>
      </c>
    </row>
    <row r="17" spans="1:25" ht="14.5" thickBot="1" x14ac:dyDescent="0.35">
      <c r="A17" s="206"/>
      <c r="B17" s="207"/>
      <c r="C17" s="207"/>
      <c r="D17" s="213"/>
      <c r="E17" s="214"/>
      <c r="F17" s="217"/>
      <c r="G17" s="231"/>
      <c r="H17" s="197"/>
      <c r="I17" s="197"/>
      <c r="J17" s="196"/>
      <c r="K17" s="197"/>
      <c r="L17" s="197"/>
      <c r="M17" s="197"/>
      <c r="N17" s="235"/>
      <c r="O17" s="168"/>
      <c r="P17" s="99"/>
      <c r="R17" s="16"/>
      <c r="S17" s="17"/>
      <c r="T17" s="18"/>
      <c r="U17" s="21"/>
      <c r="V17" s="22"/>
      <c r="W17" s="22"/>
      <c r="X17" s="23"/>
      <c r="Y17" s="37"/>
    </row>
    <row r="18" spans="1:25" ht="14.5" thickTop="1" x14ac:dyDescent="0.3">
      <c r="A18" s="206"/>
      <c r="B18" s="207"/>
      <c r="C18" s="207"/>
      <c r="D18" s="219" t="s">
        <v>58</v>
      </c>
      <c r="E18" s="220"/>
      <c r="F18" s="228"/>
      <c r="G18" s="230"/>
      <c r="H18" s="165" t="s">
        <v>47</v>
      </c>
      <c r="I18" s="167" t="s">
        <v>36</v>
      </c>
      <c r="J18" s="169" t="s">
        <v>45</v>
      </c>
      <c r="K18" s="171" t="s">
        <v>37</v>
      </c>
      <c r="L18" s="169" t="s">
        <v>46</v>
      </c>
      <c r="M18" s="167" t="s">
        <v>162</v>
      </c>
      <c r="N18" s="235"/>
      <c r="O18" s="168"/>
      <c r="P18" s="99"/>
      <c r="R18" s="24" t="str">
        <f>_xlfn.IFNA(
    _xlfn.XLOOKUP(U18,DATA1!A:A,DATA1!B:B),
"暂无推荐科室")</f>
        <v>暂无推荐科室</v>
      </c>
      <c r="S18" s="25"/>
      <c r="T18" s="26"/>
      <c r="U18" s="30" t="str">
        <f>INDEX(评分表!A2:A9,MATCH(MAX(评分表!J2:J9),评分表!J2:J9,0))</f>
        <v>重装火力</v>
      </c>
      <c r="V18" s="31"/>
      <c r="W18" s="31"/>
      <c r="X18" s="32"/>
      <c r="Y18" s="38" t="str" cm="1">
        <f t="array" ref="Y18">_xlfn.IFS(
MAX(评分表!J2:J9)&gt;=90,"S",
MAX(评分表!J2:J9)&gt;=75,"A",
MAX(评分表!J2:J9)&gt;=60,"B",
MAX(评分表!J2:J9)&gt;=45,"C",
TRUE,"D"
)</f>
        <v>D</v>
      </c>
    </row>
    <row r="19" spans="1:25" ht="14.5" thickBot="1" x14ac:dyDescent="0.35">
      <c r="A19" s="206"/>
      <c r="B19" s="207"/>
      <c r="C19" s="207"/>
      <c r="D19" s="226"/>
      <c r="E19" s="227"/>
      <c r="F19" s="232"/>
      <c r="G19" s="233"/>
      <c r="H19" s="166"/>
      <c r="I19" s="168"/>
      <c r="J19" s="170"/>
      <c r="K19" s="172"/>
      <c r="L19" s="170"/>
      <c r="M19" s="168"/>
      <c r="N19" s="235"/>
      <c r="O19" s="168"/>
      <c r="P19" s="99"/>
      <c r="R19" s="27"/>
      <c r="S19" s="28"/>
      <c r="T19" s="29"/>
      <c r="U19" s="33"/>
      <c r="V19" s="34"/>
      <c r="W19" s="34"/>
      <c r="X19" s="35"/>
      <c r="Y19" s="39"/>
    </row>
    <row r="20" spans="1:25" ht="15" thickTop="1" thickBot="1" x14ac:dyDescent="0.35">
      <c r="A20" s="208"/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209"/>
      <c r="O20" s="209"/>
      <c r="P20" s="210"/>
    </row>
    <row r="21" spans="1:25" ht="14.5" thickTop="1" x14ac:dyDescent="0.3">
      <c r="A21" s="129" t="s">
        <v>90</v>
      </c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94"/>
      <c r="M21" s="95"/>
      <c r="N21" s="95"/>
      <c r="O21" s="95"/>
      <c r="P21" s="96"/>
      <c r="R21" s="82" t="s">
        <v>120</v>
      </c>
      <c r="S21" s="83"/>
      <c r="T21" s="84"/>
    </row>
    <row r="22" spans="1:25" ht="14.5" thickBot="1" x14ac:dyDescent="0.35">
      <c r="A22" s="131"/>
      <c r="B22" s="132"/>
      <c r="C22" s="132"/>
      <c r="D22" s="132"/>
      <c r="E22" s="133"/>
      <c r="F22" s="133"/>
      <c r="G22" s="133"/>
      <c r="H22" s="133"/>
      <c r="I22" s="133"/>
      <c r="J22" s="133"/>
      <c r="K22" s="132"/>
      <c r="L22" s="97"/>
      <c r="M22" s="98"/>
      <c r="N22" s="98"/>
      <c r="O22" s="98"/>
      <c r="P22" s="99"/>
      <c r="R22" s="85"/>
      <c r="S22" s="86"/>
      <c r="T22" s="87"/>
    </row>
    <row r="23" spans="1:25" ht="19.5" thickTop="1" thickBot="1" x14ac:dyDescent="0.35">
      <c r="A23" s="111" t="s">
        <v>81</v>
      </c>
      <c r="B23" s="134"/>
      <c r="C23" s="90" t="s">
        <v>92</v>
      </c>
      <c r="D23" s="91"/>
      <c r="E23" s="90" t="s">
        <v>93</v>
      </c>
      <c r="F23" s="91"/>
      <c r="G23" s="90" t="s">
        <v>94</v>
      </c>
      <c r="H23" s="91"/>
      <c r="I23" s="90" t="s">
        <v>95</v>
      </c>
      <c r="J23" s="91"/>
      <c r="K23" s="3" t="s">
        <v>91</v>
      </c>
      <c r="L23" s="98"/>
      <c r="M23" s="98"/>
      <c r="N23" s="98"/>
      <c r="O23" s="98"/>
      <c r="P23" s="99"/>
      <c r="R23" s="5">
        <v>1</v>
      </c>
      <c r="S23" s="4" t="s">
        <v>121</v>
      </c>
      <c r="T23" s="6"/>
    </row>
    <row r="24" spans="1:25" ht="19" thickBot="1" x14ac:dyDescent="0.35">
      <c r="A24" s="85"/>
      <c r="B24" s="86"/>
      <c r="C24" s="88"/>
      <c r="D24" s="89"/>
      <c r="E24" s="88"/>
      <c r="F24" s="89"/>
      <c r="G24" s="88"/>
      <c r="H24" s="89"/>
      <c r="I24" s="88"/>
      <c r="J24" s="89"/>
      <c r="K24" s="10">
        <f>SUM(C24+E24+G24+I24)</f>
        <v>0</v>
      </c>
      <c r="L24" s="98"/>
      <c r="M24" s="98"/>
      <c r="N24" s="98"/>
      <c r="O24" s="98"/>
      <c r="P24" s="99"/>
      <c r="R24" s="5">
        <v>2</v>
      </c>
      <c r="S24" s="4" t="s">
        <v>122</v>
      </c>
      <c r="T24" s="6"/>
    </row>
    <row r="25" spans="1:25" ht="19" thickBot="1" x14ac:dyDescent="0.35">
      <c r="A25" s="135" t="s">
        <v>82</v>
      </c>
      <c r="B25" s="136"/>
      <c r="C25" s="90" t="s">
        <v>97</v>
      </c>
      <c r="D25" s="91"/>
      <c r="E25" s="90" t="s">
        <v>96</v>
      </c>
      <c r="F25" s="91"/>
      <c r="G25" s="90" t="s">
        <v>98</v>
      </c>
      <c r="H25" s="91"/>
      <c r="I25" s="90" t="s">
        <v>99</v>
      </c>
      <c r="J25" s="91"/>
      <c r="K25" s="3" t="s">
        <v>91</v>
      </c>
      <c r="L25" s="97"/>
      <c r="M25" s="98"/>
      <c r="N25" s="98"/>
      <c r="O25" s="98"/>
      <c r="P25" s="99"/>
      <c r="R25" s="5">
        <v>3</v>
      </c>
      <c r="S25" s="4" t="s">
        <v>123</v>
      </c>
      <c r="T25" s="6"/>
    </row>
    <row r="26" spans="1:25" ht="19" thickBot="1" x14ac:dyDescent="0.35">
      <c r="A26" s="85"/>
      <c r="B26" s="137"/>
      <c r="C26" s="88"/>
      <c r="D26" s="89"/>
      <c r="E26" s="88"/>
      <c r="F26" s="89"/>
      <c r="G26" s="88"/>
      <c r="H26" s="89"/>
      <c r="I26" s="88"/>
      <c r="J26" s="89"/>
      <c r="K26" s="10">
        <f>SUM(C26+E26+G26+I26)</f>
        <v>0</v>
      </c>
      <c r="L26" s="97"/>
      <c r="M26" s="98"/>
      <c r="N26" s="98"/>
      <c r="O26" s="98"/>
      <c r="P26" s="99"/>
      <c r="R26" s="5">
        <v>4</v>
      </c>
      <c r="S26" s="4" t="s">
        <v>124</v>
      </c>
      <c r="T26" s="6"/>
    </row>
    <row r="27" spans="1:25" ht="19" thickBot="1" x14ac:dyDescent="0.35">
      <c r="A27" s="135" t="s">
        <v>83</v>
      </c>
      <c r="B27" s="136"/>
      <c r="C27" s="90" t="s">
        <v>100</v>
      </c>
      <c r="D27" s="91"/>
      <c r="E27" s="90" t="s">
        <v>101</v>
      </c>
      <c r="F27" s="91"/>
      <c r="G27" s="90" t="s">
        <v>102</v>
      </c>
      <c r="H27" s="91"/>
      <c r="I27" s="90" t="s">
        <v>103</v>
      </c>
      <c r="J27" s="91"/>
      <c r="K27" s="3" t="s">
        <v>91</v>
      </c>
      <c r="L27" s="97"/>
      <c r="M27" s="98"/>
      <c r="N27" s="98"/>
      <c r="O27" s="98"/>
      <c r="P27" s="99"/>
      <c r="R27" s="5">
        <v>5</v>
      </c>
      <c r="S27" s="4" t="s">
        <v>125</v>
      </c>
      <c r="T27" s="6"/>
      <c r="Y27" s="12"/>
    </row>
    <row r="28" spans="1:25" ht="19" thickBot="1" x14ac:dyDescent="0.35">
      <c r="A28" s="85"/>
      <c r="B28" s="137"/>
      <c r="C28" s="88"/>
      <c r="D28" s="89"/>
      <c r="E28" s="88"/>
      <c r="F28" s="89"/>
      <c r="G28" s="88"/>
      <c r="H28" s="89"/>
      <c r="I28" s="88"/>
      <c r="J28" s="89"/>
      <c r="K28" s="10">
        <f>SUM(C28+E28+G28+I28)</f>
        <v>0</v>
      </c>
      <c r="L28" s="97"/>
      <c r="M28" s="98"/>
      <c r="N28" s="98"/>
      <c r="O28" s="98"/>
      <c r="P28" s="99"/>
      <c r="R28" s="5">
        <v>6</v>
      </c>
      <c r="S28" s="4" t="s">
        <v>126</v>
      </c>
      <c r="T28" s="6"/>
    </row>
    <row r="29" spans="1:25" ht="19" thickBot="1" x14ac:dyDescent="0.35">
      <c r="A29" s="135" t="s">
        <v>84</v>
      </c>
      <c r="B29" s="136"/>
      <c r="C29" s="90" t="s">
        <v>104</v>
      </c>
      <c r="D29" s="91"/>
      <c r="E29" s="90" t="s">
        <v>105</v>
      </c>
      <c r="F29" s="91"/>
      <c r="G29" s="90" t="s">
        <v>106</v>
      </c>
      <c r="H29" s="91"/>
      <c r="I29" s="90" t="s">
        <v>107</v>
      </c>
      <c r="J29" s="91"/>
      <c r="K29" s="3" t="s">
        <v>91</v>
      </c>
      <c r="L29" s="97"/>
      <c r="M29" s="98"/>
      <c r="N29" s="98"/>
      <c r="O29" s="98"/>
      <c r="P29" s="99"/>
      <c r="R29" s="5">
        <v>7</v>
      </c>
      <c r="S29" s="4" t="s">
        <v>127</v>
      </c>
      <c r="T29" s="6"/>
    </row>
    <row r="30" spans="1:25" ht="19" thickBot="1" x14ac:dyDescent="0.35">
      <c r="A30" s="85"/>
      <c r="B30" s="137"/>
      <c r="C30" s="88"/>
      <c r="D30" s="89"/>
      <c r="E30" s="88"/>
      <c r="F30" s="89"/>
      <c r="G30" s="88"/>
      <c r="H30" s="89"/>
      <c r="I30" s="88"/>
      <c r="J30" s="89"/>
      <c r="K30" s="10">
        <f>SUM(C30:J30)</f>
        <v>0</v>
      </c>
      <c r="L30" s="97"/>
      <c r="M30" s="98"/>
      <c r="N30" s="98"/>
      <c r="O30" s="98"/>
      <c r="P30" s="99"/>
      <c r="R30" s="5">
        <v>8</v>
      </c>
      <c r="S30" s="4" t="s">
        <v>128</v>
      </c>
      <c r="T30" s="6"/>
    </row>
    <row r="31" spans="1:25" ht="19" thickBot="1" x14ac:dyDescent="0.35">
      <c r="A31" s="135" t="s">
        <v>85</v>
      </c>
      <c r="B31" s="136"/>
      <c r="C31" s="90" t="s">
        <v>108</v>
      </c>
      <c r="D31" s="91"/>
      <c r="E31" s="90" t="s">
        <v>109</v>
      </c>
      <c r="F31" s="91"/>
      <c r="G31" s="90" t="s">
        <v>110</v>
      </c>
      <c r="H31" s="91"/>
      <c r="I31" s="90" t="s">
        <v>115</v>
      </c>
      <c r="J31" s="91"/>
      <c r="K31" s="3" t="s">
        <v>91</v>
      </c>
      <c r="L31" s="97"/>
      <c r="M31" s="98"/>
      <c r="N31" s="98"/>
      <c r="O31" s="98"/>
      <c r="P31" s="99"/>
      <c r="R31" s="5">
        <v>9</v>
      </c>
      <c r="S31" s="4" t="s">
        <v>129</v>
      </c>
      <c r="T31" s="6"/>
    </row>
    <row r="32" spans="1:25" ht="19" thickBot="1" x14ac:dyDescent="0.35">
      <c r="A32" s="85"/>
      <c r="B32" s="137"/>
      <c r="C32" s="88"/>
      <c r="D32" s="89"/>
      <c r="E32" s="88"/>
      <c r="F32" s="89"/>
      <c r="G32" s="88"/>
      <c r="H32" s="89"/>
      <c r="I32" s="88"/>
      <c r="J32" s="89"/>
      <c r="K32" s="10">
        <f>SUM(C32+E32+G32+I32)</f>
        <v>0</v>
      </c>
      <c r="L32" s="97"/>
      <c r="M32" s="98"/>
      <c r="N32" s="98"/>
      <c r="O32" s="98"/>
      <c r="P32" s="99"/>
      <c r="R32" s="7">
        <v>10</v>
      </c>
      <c r="S32" s="8" t="s">
        <v>130</v>
      </c>
      <c r="T32" s="9"/>
    </row>
    <row r="33" spans="1:16" ht="19" thickBot="1" x14ac:dyDescent="0.35">
      <c r="A33" s="135" t="s">
        <v>86</v>
      </c>
      <c r="B33" s="136"/>
      <c r="C33" s="90" t="s">
        <v>112</v>
      </c>
      <c r="D33" s="91"/>
      <c r="E33" s="90" t="s">
        <v>113</v>
      </c>
      <c r="F33" s="91"/>
      <c r="G33" s="90" t="s">
        <v>114</v>
      </c>
      <c r="H33" s="91"/>
      <c r="I33" s="90" t="s">
        <v>111</v>
      </c>
      <c r="J33" s="91"/>
      <c r="K33" s="3" t="s">
        <v>91</v>
      </c>
      <c r="L33" s="97"/>
      <c r="M33" s="98"/>
      <c r="N33" s="98"/>
      <c r="O33" s="98"/>
      <c r="P33" s="99"/>
    </row>
    <row r="34" spans="1:16" ht="19" thickBot="1" x14ac:dyDescent="0.35">
      <c r="A34" s="85"/>
      <c r="B34" s="137"/>
      <c r="C34" s="88"/>
      <c r="D34" s="89"/>
      <c r="E34" s="88"/>
      <c r="F34" s="89"/>
      <c r="G34" s="88"/>
      <c r="H34" s="89"/>
      <c r="I34" s="88"/>
      <c r="J34" s="89"/>
      <c r="K34" s="10">
        <f>SUM(C34+E34+G34+I34)</f>
        <v>0</v>
      </c>
      <c r="L34" s="97"/>
      <c r="M34" s="98"/>
      <c r="N34" s="98"/>
      <c r="O34" s="98"/>
      <c r="P34" s="99"/>
    </row>
    <row r="35" spans="1:16" ht="19" thickBot="1" x14ac:dyDescent="0.35">
      <c r="A35" s="135" t="s">
        <v>87</v>
      </c>
      <c r="B35" s="136"/>
      <c r="C35" s="90" t="s">
        <v>116</v>
      </c>
      <c r="D35" s="91"/>
      <c r="E35" s="90" t="s">
        <v>117</v>
      </c>
      <c r="F35" s="91"/>
      <c r="G35" s="90" t="s">
        <v>118</v>
      </c>
      <c r="H35" s="91"/>
      <c r="I35" s="90" t="s">
        <v>119</v>
      </c>
      <c r="J35" s="91"/>
      <c r="K35" s="3" t="s">
        <v>91</v>
      </c>
      <c r="L35" s="97"/>
      <c r="M35" s="98"/>
      <c r="N35" s="98"/>
      <c r="O35" s="98"/>
      <c r="P35" s="99"/>
    </row>
    <row r="36" spans="1:16" ht="19" thickBot="1" x14ac:dyDescent="0.35">
      <c r="A36" s="85"/>
      <c r="B36" s="137"/>
      <c r="C36" s="88"/>
      <c r="D36" s="89"/>
      <c r="E36" s="88"/>
      <c r="F36" s="89"/>
      <c r="G36" s="88"/>
      <c r="H36" s="89"/>
      <c r="I36" s="88"/>
      <c r="J36" s="89"/>
      <c r="K36" s="10">
        <f>SUM(C36+E36+G36+I36)</f>
        <v>0</v>
      </c>
      <c r="L36" s="100"/>
      <c r="M36" s="80"/>
      <c r="N36" s="80"/>
      <c r="O36" s="80"/>
      <c r="P36" s="101"/>
    </row>
    <row r="37" spans="1:16" ht="19.5" thickTop="1" thickBot="1" x14ac:dyDescent="0.35">
      <c r="A37" s="135" t="s">
        <v>88</v>
      </c>
      <c r="B37" s="136"/>
      <c r="C37" s="75"/>
      <c r="D37" s="76"/>
      <c r="E37" s="77"/>
      <c r="F37" s="77"/>
      <c r="G37" s="77"/>
      <c r="H37" s="77"/>
      <c r="I37" s="77"/>
      <c r="J37" s="78"/>
      <c r="K37" s="3" t="s">
        <v>91</v>
      </c>
      <c r="L37" s="108"/>
      <c r="M37" s="102"/>
      <c r="N37" s="102"/>
      <c r="O37" s="102"/>
      <c r="P37" s="103"/>
    </row>
    <row r="38" spans="1:16" ht="19" thickBot="1" x14ac:dyDescent="0.35">
      <c r="A38" s="160"/>
      <c r="B38" s="161"/>
      <c r="C38" s="79"/>
      <c r="D38" s="80"/>
      <c r="E38" s="80"/>
      <c r="F38" s="80"/>
      <c r="G38" s="80"/>
      <c r="H38" s="80"/>
      <c r="I38" s="80"/>
      <c r="J38" s="81"/>
      <c r="K38" s="10">
        <v>1</v>
      </c>
      <c r="L38" s="109"/>
      <c r="M38" s="104"/>
      <c r="N38" s="104"/>
      <c r="O38" s="104"/>
      <c r="P38" s="105"/>
    </row>
    <row r="39" spans="1:16" ht="14.5" thickTop="1" x14ac:dyDescent="0.3">
      <c r="A39" s="82" t="s">
        <v>89</v>
      </c>
      <c r="B39" s="83"/>
      <c r="C39" s="84"/>
      <c r="D39" s="38">
        <f>K24</f>
        <v>0</v>
      </c>
      <c r="E39" s="38">
        <f>K26</f>
        <v>0</v>
      </c>
      <c r="F39" s="38">
        <f>K28</f>
        <v>0</v>
      </c>
      <c r="G39" s="38">
        <f>K30</f>
        <v>0</v>
      </c>
      <c r="H39" s="38">
        <f>K32</f>
        <v>0</v>
      </c>
      <c r="I39" s="38">
        <f>K34</f>
        <v>0</v>
      </c>
      <c r="J39" s="38">
        <f>K36</f>
        <v>0</v>
      </c>
      <c r="K39" s="92">
        <f>K38</f>
        <v>1</v>
      </c>
      <c r="L39" s="109"/>
      <c r="M39" s="104"/>
      <c r="N39" s="104"/>
      <c r="O39" s="104"/>
      <c r="P39" s="105"/>
    </row>
    <row r="40" spans="1:16" ht="14.5" thickBot="1" x14ac:dyDescent="0.35">
      <c r="A40" s="162"/>
      <c r="B40" s="163"/>
      <c r="C40" s="164"/>
      <c r="D40" s="39"/>
      <c r="E40" s="39"/>
      <c r="F40" s="39"/>
      <c r="G40" s="39"/>
      <c r="H40" s="39"/>
      <c r="I40" s="39"/>
      <c r="J40" s="39"/>
      <c r="K40" s="93"/>
      <c r="L40" s="110"/>
      <c r="M40" s="106"/>
      <c r="N40" s="106"/>
      <c r="O40" s="106"/>
      <c r="P40" s="107"/>
    </row>
    <row r="41" spans="1:16" ht="14.5" customHeight="1" thickTop="1" x14ac:dyDescent="0.3">
      <c r="A41" s="156" t="s">
        <v>62</v>
      </c>
      <c r="B41" s="157"/>
      <c r="C41" s="157"/>
      <c r="D41" s="158"/>
      <c r="E41" s="157"/>
      <c r="F41" s="157"/>
      <c r="G41" s="157"/>
      <c r="H41" s="157"/>
      <c r="I41" s="157"/>
      <c r="J41" s="157"/>
      <c r="K41" s="157"/>
      <c r="L41" s="94"/>
      <c r="M41" s="95"/>
      <c r="N41" s="95"/>
      <c r="O41" s="95"/>
      <c r="P41" s="96"/>
    </row>
    <row r="42" spans="1:16" ht="14.5" thickBot="1" x14ac:dyDescent="0.35">
      <c r="A42" s="159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97"/>
      <c r="M42" s="98"/>
      <c r="N42" s="98"/>
      <c r="O42" s="98"/>
      <c r="P42" s="99"/>
    </row>
    <row r="43" spans="1:16" ht="14.5" customHeight="1" thickTop="1" x14ac:dyDescent="0.3">
      <c r="A43" s="121" t="s">
        <v>63</v>
      </c>
      <c r="B43" s="122"/>
      <c r="C43" s="117"/>
      <c r="D43" s="121" t="s">
        <v>71</v>
      </c>
      <c r="E43" s="122"/>
      <c r="F43" s="117"/>
      <c r="G43" s="121" t="s">
        <v>74</v>
      </c>
      <c r="H43" s="122"/>
      <c r="I43" s="117"/>
      <c r="J43" s="138" t="s">
        <v>8</v>
      </c>
      <c r="K43" s="139"/>
      <c r="L43" s="97"/>
      <c r="M43" s="98"/>
      <c r="N43" s="98"/>
      <c r="O43" s="98"/>
      <c r="P43" s="99"/>
    </row>
    <row r="44" spans="1:16" x14ac:dyDescent="0.3">
      <c r="A44" s="113"/>
      <c r="B44" s="114"/>
      <c r="C44" s="118"/>
      <c r="D44" s="113"/>
      <c r="E44" s="114"/>
      <c r="F44" s="118"/>
      <c r="G44" s="113"/>
      <c r="H44" s="114"/>
      <c r="I44" s="118"/>
      <c r="J44" s="139"/>
      <c r="K44" s="139"/>
      <c r="L44" s="97"/>
      <c r="M44" s="98"/>
      <c r="N44" s="98"/>
      <c r="O44" s="98"/>
      <c r="P44" s="99"/>
    </row>
    <row r="45" spans="1:16" x14ac:dyDescent="0.3">
      <c r="A45" s="111" t="s">
        <v>64</v>
      </c>
      <c r="B45" s="112"/>
      <c r="C45" s="119"/>
      <c r="D45" s="111" t="s">
        <v>69</v>
      </c>
      <c r="E45" s="112"/>
      <c r="F45" s="119"/>
      <c r="G45" s="111" t="s">
        <v>75</v>
      </c>
      <c r="H45" s="112"/>
      <c r="I45" s="119"/>
      <c r="J45" s="98"/>
      <c r="K45" s="98"/>
      <c r="L45" s="97"/>
      <c r="M45" s="98"/>
      <c r="N45" s="98"/>
      <c r="O45" s="98"/>
      <c r="P45" s="99"/>
    </row>
    <row r="46" spans="1:16" x14ac:dyDescent="0.3">
      <c r="A46" s="113"/>
      <c r="B46" s="114"/>
      <c r="C46" s="118"/>
      <c r="D46" s="113"/>
      <c r="E46" s="114"/>
      <c r="F46" s="118"/>
      <c r="G46" s="113"/>
      <c r="H46" s="114"/>
      <c r="I46" s="118"/>
      <c r="J46" s="98"/>
      <c r="K46" s="98"/>
      <c r="L46" s="97"/>
      <c r="M46" s="98"/>
      <c r="N46" s="98"/>
      <c r="O46" s="98"/>
      <c r="P46" s="99"/>
    </row>
    <row r="47" spans="1:16" x14ac:dyDescent="0.3">
      <c r="A47" s="111" t="s">
        <v>67</v>
      </c>
      <c r="B47" s="112"/>
      <c r="C47" s="119"/>
      <c r="D47" s="111" t="s">
        <v>70</v>
      </c>
      <c r="E47" s="112"/>
      <c r="F47" s="119"/>
      <c r="G47" s="111" t="s">
        <v>65</v>
      </c>
      <c r="H47" s="112"/>
      <c r="I47" s="119"/>
      <c r="J47" s="98"/>
      <c r="K47" s="98"/>
      <c r="L47" s="97"/>
      <c r="M47" s="98"/>
      <c r="N47" s="98"/>
      <c r="O47" s="98"/>
      <c r="P47" s="99"/>
    </row>
    <row r="48" spans="1:16" ht="14.5" thickBot="1" x14ac:dyDescent="0.35">
      <c r="A48" s="113"/>
      <c r="B48" s="114"/>
      <c r="C48" s="118"/>
      <c r="D48" s="113"/>
      <c r="E48" s="114"/>
      <c r="F48" s="118"/>
      <c r="G48" s="115"/>
      <c r="H48" s="116"/>
      <c r="I48" s="120"/>
      <c r="J48" s="80"/>
      <c r="K48" s="80"/>
      <c r="L48" s="97"/>
      <c r="M48" s="98"/>
      <c r="N48" s="98"/>
      <c r="O48" s="98"/>
      <c r="P48" s="99"/>
    </row>
    <row r="49" spans="1:49" ht="14.5" thickTop="1" x14ac:dyDescent="0.3">
      <c r="A49" s="111" t="s">
        <v>68</v>
      </c>
      <c r="B49" s="112"/>
      <c r="C49" s="119"/>
      <c r="D49" s="111" t="s">
        <v>72</v>
      </c>
      <c r="E49" s="112"/>
      <c r="F49" s="119"/>
      <c r="G49" s="146" t="s">
        <v>76</v>
      </c>
      <c r="H49" s="140" t="s">
        <v>77</v>
      </c>
      <c r="I49" s="140" t="s">
        <v>78</v>
      </c>
      <c r="J49" s="140" t="s">
        <v>79</v>
      </c>
      <c r="K49" s="142" t="s">
        <v>80</v>
      </c>
      <c r="L49" s="97"/>
      <c r="M49" s="98"/>
      <c r="N49" s="98"/>
      <c r="O49" s="98"/>
      <c r="P49" s="99"/>
    </row>
    <row r="50" spans="1:49" ht="14.5" thickBot="1" x14ac:dyDescent="0.35">
      <c r="A50" s="113"/>
      <c r="B50" s="114"/>
      <c r="C50" s="118"/>
      <c r="D50" s="113"/>
      <c r="E50" s="114"/>
      <c r="F50" s="118"/>
      <c r="G50" s="68"/>
      <c r="H50" s="141"/>
      <c r="I50" s="141"/>
      <c r="J50" s="141"/>
      <c r="K50" s="66"/>
      <c r="L50" s="97"/>
      <c r="M50" s="98"/>
      <c r="N50" s="98"/>
      <c r="O50" s="98"/>
      <c r="P50" s="99"/>
    </row>
    <row r="51" spans="1:49" ht="14.5" thickTop="1" x14ac:dyDescent="0.3">
      <c r="A51" s="111" t="s">
        <v>66</v>
      </c>
      <c r="B51" s="112"/>
      <c r="C51" s="119"/>
      <c r="D51" s="111" t="s">
        <v>73</v>
      </c>
      <c r="E51" s="112"/>
      <c r="F51" s="119"/>
      <c r="G51" s="145">
        <f>SUM(C43+I45+I47)</f>
        <v>0</v>
      </c>
      <c r="H51" s="143">
        <f>SUM(C45+C47+C49)</f>
        <v>0</v>
      </c>
      <c r="I51" s="143">
        <f>SUM(F45+F47+F49)</f>
        <v>0</v>
      </c>
      <c r="J51" s="143">
        <f>SUM(F51+I43+F43)</f>
        <v>0</v>
      </c>
      <c r="K51" s="144">
        <f>SUM(C51)</f>
        <v>0</v>
      </c>
      <c r="L51" s="97"/>
      <c r="M51" s="98"/>
      <c r="N51" s="98"/>
      <c r="O51" s="98"/>
      <c r="P51" s="99"/>
    </row>
    <row r="52" spans="1:49" ht="14.5" thickBot="1" x14ac:dyDescent="0.35">
      <c r="A52" s="115"/>
      <c r="B52" s="116"/>
      <c r="C52" s="120"/>
      <c r="D52" s="115"/>
      <c r="E52" s="116"/>
      <c r="F52" s="120"/>
      <c r="G52" s="56"/>
      <c r="H52" s="50"/>
      <c r="I52" s="50"/>
      <c r="J52" s="50"/>
      <c r="K52" s="54"/>
      <c r="L52" s="100"/>
      <c r="M52" s="80"/>
      <c r="N52" s="80"/>
      <c r="O52" s="80"/>
      <c r="P52" s="101"/>
    </row>
    <row r="53" spans="1:49" ht="15" thickTop="1" thickBot="1" x14ac:dyDescent="0.35">
      <c r="A53" s="126"/>
      <c r="B53" s="127"/>
      <c r="C53" s="1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8"/>
    </row>
    <row r="54" spans="1:49" ht="14.5" thickTop="1" x14ac:dyDescent="0.3">
      <c r="A54" s="63" t="s">
        <v>131</v>
      </c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5"/>
    </row>
    <row r="55" spans="1:49" ht="14.5" thickBot="1" x14ac:dyDescent="0.35">
      <c r="A55" s="66"/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8"/>
    </row>
    <row r="56" spans="1:49" ht="14.5" thickTop="1" x14ac:dyDescent="0.3">
      <c r="A56" s="69"/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1"/>
    </row>
    <row r="57" spans="1:49" x14ac:dyDescent="0.3">
      <c r="A57" s="72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4"/>
    </row>
    <row r="58" spans="1:49" x14ac:dyDescent="0.3">
      <c r="A58" s="72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4"/>
    </row>
    <row r="59" spans="1:49" x14ac:dyDescent="0.3">
      <c r="A59" s="72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4"/>
    </row>
    <row r="60" spans="1:49" x14ac:dyDescent="0.3">
      <c r="A60" s="72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4"/>
    </row>
    <row r="61" spans="1:49" x14ac:dyDescent="0.3">
      <c r="A61" s="72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4"/>
      <c r="AU61" s="221" t="s">
        <v>186</v>
      </c>
      <c r="AV61" s="222"/>
      <c r="AW61" s="223"/>
    </row>
    <row r="62" spans="1:49" x14ac:dyDescent="0.3">
      <c r="A62" s="72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4"/>
      <c r="AU62" t="s">
        <v>187</v>
      </c>
      <c r="AV62">
        <f>K24</f>
        <v>0</v>
      </c>
    </row>
    <row r="63" spans="1:49" x14ac:dyDescent="0.3">
      <c r="A63" s="72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4"/>
      <c r="AU63" t="s">
        <v>188</v>
      </c>
      <c r="AV63">
        <f>K26</f>
        <v>0</v>
      </c>
    </row>
    <row r="64" spans="1:49" x14ac:dyDescent="0.3">
      <c r="A64" s="72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4"/>
      <c r="AU64" t="s">
        <v>189</v>
      </c>
      <c r="AV64">
        <f>K28</f>
        <v>0</v>
      </c>
    </row>
    <row r="65" spans="1:48" x14ac:dyDescent="0.3">
      <c r="A65" s="72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4"/>
      <c r="AU65" t="s">
        <v>194</v>
      </c>
      <c r="AV65">
        <f>K30</f>
        <v>0</v>
      </c>
    </row>
    <row r="66" spans="1:48" x14ac:dyDescent="0.3">
      <c r="A66" s="72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4"/>
      <c r="AU66" t="s">
        <v>190</v>
      </c>
      <c r="AV66">
        <f>K32</f>
        <v>0</v>
      </c>
    </row>
    <row r="67" spans="1:48" x14ac:dyDescent="0.3">
      <c r="A67" s="72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4"/>
      <c r="AU67" t="s">
        <v>191</v>
      </c>
      <c r="AV67">
        <f>K34</f>
        <v>0</v>
      </c>
    </row>
    <row r="68" spans="1:48" x14ac:dyDescent="0.3">
      <c r="A68" s="72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4"/>
      <c r="AU68" t="s">
        <v>192</v>
      </c>
      <c r="AV68">
        <f>K36</f>
        <v>0</v>
      </c>
    </row>
    <row r="69" spans="1:48" x14ac:dyDescent="0.3">
      <c r="A69" s="72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4"/>
      <c r="AU69" t="s">
        <v>193</v>
      </c>
      <c r="AV69">
        <f>K38</f>
        <v>1</v>
      </c>
    </row>
    <row r="70" spans="1:48" ht="14.5" thickBot="1" x14ac:dyDescent="0.35">
      <c r="A70" s="72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4"/>
    </row>
    <row r="71" spans="1:48" ht="15" thickTop="1" thickBot="1" x14ac:dyDescent="0.35">
      <c r="A71" s="123" t="e" vm="2">
        <v>#VALUE!</v>
      </c>
      <c r="B71" s="124"/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5"/>
      <c r="AU71" s="224" t="s">
        <v>195</v>
      </c>
      <c r="AV71" s="225"/>
    </row>
    <row r="72" spans="1:48" ht="14.5" thickTop="1" x14ac:dyDescent="0.3">
      <c r="A72" s="123"/>
      <c r="B72" s="124"/>
      <c r="C72" s="124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5"/>
      <c r="AU72" t="s">
        <v>76</v>
      </c>
      <c r="AV72">
        <f>G51</f>
        <v>0</v>
      </c>
    </row>
    <row r="73" spans="1:48" x14ac:dyDescent="0.3">
      <c r="A73" s="123"/>
      <c r="B73" s="124"/>
      <c r="C73" s="124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5"/>
      <c r="AU73" t="s">
        <v>77</v>
      </c>
      <c r="AV73">
        <f>H51</f>
        <v>0</v>
      </c>
    </row>
    <row r="74" spans="1:48" x14ac:dyDescent="0.3">
      <c r="A74" s="123"/>
      <c r="B74" s="124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5"/>
      <c r="AU74" t="s">
        <v>78</v>
      </c>
      <c r="AV74">
        <f>I51</f>
        <v>0</v>
      </c>
    </row>
    <row r="75" spans="1:48" x14ac:dyDescent="0.3">
      <c r="A75" s="123"/>
      <c r="B75" s="124"/>
      <c r="C75" s="124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5"/>
      <c r="AU75" t="s">
        <v>79</v>
      </c>
      <c r="AV75">
        <f>J51</f>
        <v>0</v>
      </c>
    </row>
    <row r="76" spans="1:48" x14ac:dyDescent="0.3">
      <c r="A76" s="123"/>
      <c r="B76" s="124"/>
      <c r="C76" s="124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5"/>
      <c r="AU76" t="s">
        <v>80</v>
      </c>
      <c r="AV76">
        <f>K51</f>
        <v>0</v>
      </c>
    </row>
    <row r="77" spans="1:48" x14ac:dyDescent="0.3">
      <c r="A77" s="123"/>
      <c r="B77" s="124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5"/>
    </row>
    <row r="78" spans="1:48" ht="14.5" thickBot="1" x14ac:dyDescent="0.35">
      <c r="A78" s="126"/>
      <c r="B78" s="127"/>
      <c r="C78" s="127"/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8"/>
    </row>
    <row r="79" spans="1:48" ht="14.5" thickTop="1" x14ac:dyDescent="0.3"/>
  </sheetData>
  <mergeCells count="206">
    <mergeCell ref="A1:P5"/>
    <mergeCell ref="A6:C19"/>
    <mergeCell ref="A20:P20"/>
    <mergeCell ref="D6:E7"/>
    <mergeCell ref="F6:G7"/>
    <mergeCell ref="D8:E9"/>
    <mergeCell ref="D10:E11"/>
    <mergeCell ref="AU61:AW61"/>
    <mergeCell ref="AU71:AV71"/>
    <mergeCell ref="D12:E13"/>
    <mergeCell ref="D14:E15"/>
    <mergeCell ref="D16:E17"/>
    <mergeCell ref="D18:E19"/>
    <mergeCell ref="F8:G9"/>
    <mergeCell ref="F10:G11"/>
    <mergeCell ref="F12:G13"/>
    <mergeCell ref="F14:G15"/>
    <mergeCell ref="F16:G17"/>
    <mergeCell ref="F18:G19"/>
    <mergeCell ref="N16:N19"/>
    <mergeCell ref="O16:P19"/>
    <mergeCell ref="L6:L7"/>
    <mergeCell ref="M6:M7"/>
    <mergeCell ref="L8:L9"/>
    <mergeCell ref="H18:H19"/>
    <mergeCell ref="I18:I19"/>
    <mergeCell ref="J18:J19"/>
    <mergeCell ref="L18:L19"/>
    <mergeCell ref="K18:K19"/>
    <mergeCell ref="M18:M19"/>
    <mergeCell ref="H6:I7"/>
    <mergeCell ref="L10:L11"/>
    <mergeCell ref="L12:L13"/>
    <mergeCell ref="L14:L15"/>
    <mergeCell ref="M8:M9"/>
    <mergeCell ref="M10:M11"/>
    <mergeCell ref="M12:M13"/>
    <mergeCell ref="M14:M15"/>
    <mergeCell ref="H8:I9"/>
    <mergeCell ref="H10:I11"/>
    <mergeCell ref="H12:I13"/>
    <mergeCell ref="H14:I15"/>
    <mergeCell ref="J6:K7"/>
    <mergeCell ref="J8:K9"/>
    <mergeCell ref="J10:K11"/>
    <mergeCell ref="J12:K13"/>
    <mergeCell ref="H16:I17"/>
    <mergeCell ref="J16:M17"/>
    <mergeCell ref="N6:P7"/>
    <mergeCell ref="J14:K15"/>
    <mergeCell ref="N8:P11"/>
    <mergeCell ref="N14:O15"/>
    <mergeCell ref="P14:P15"/>
    <mergeCell ref="D47:E48"/>
    <mergeCell ref="D49:E50"/>
    <mergeCell ref="D51:E52"/>
    <mergeCell ref="A53:P53"/>
    <mergeCell ref="A41:K42"/>
    <mergeCell ref="A43:B44"/>
    <mergeCell ref="C43:C44"/>
    <mergeCell ref="A45:B46"/>
    <mergeCell ref="A47:B48"/>
    <mergeCell ref="A49:B50"/>
    <mergeCell ref="A33:B34"/>
    <mergeCell ref="L41:P52"/>
    <mergeCell ref="A35:B36"/>
    <mergeCell ref="A37:B38"/>
    <mergeCell ref="A39:C40"/>
    <mergeCell ref="D39:D40"/>
    <mergeCell ref="E39:E40"/>
    <mergeCell ref="F39:F40"/>
    <mergeCell ref="G39:G40"/>
    <mergeCell ref="A71:P78"/>
    <mergeCell ref="A21:K22"/>
    <mergeCell ref="A23:B24"/>
    <mergeCell ref="A25:B26"/>
    <mergeCell ref="A27:B28"/>
    <mergeCell ref="A29:B30"/>
    <mergeCell ref="A31:B32"/>
    <mergeCell ref="J43:K44"/>
    <mergeCell ref="I43:I44"/>
    <mergeCell ref="J45:K48"/>
    <mergeCell ref="J49:J50"/>
    <mergeCell ref="K49:K50"/>
    <mergeCell ref="I51:I52"/>
    <mergeCell ref="J51:J52"/>
    <mergeCell ref="K51:K52"/>
    <mergeCell ref="G51:G52"/>
    <mergeCell ref="H51:H52"/>
    <mergeCell ref="I45:I46"/>
    <mergeCell ref="I47:I48"/>
    <mergeCell ref="G49:G50"/>
    <mergeCell ref="H49:H50"/>
    <mergeCell ref="I49:I50"/>
    <mergeCell ref="I39:I40"/>
    <mergeCell ref="G43:H44"/>
    <mergeCell ref="H39:H40"/>
    <mergeCell ref="G45:H46"/>
    <mergeCell ref="G47:H48"/>
    <mergeCell ref="F43:F44"/>
    <mergeCell ref="F45:F46"/>
    <mergeCell ref="F47:F48"/>
    <mergeCell ref="F49:F50"/>
    <mergeCell ref="F51:F52"/>
    <mergeCell ref="A51:B52"/>
    <mergeCell ref="C45:C46"/>
    <mergeCell ref="C47:C48"/>
    <mergeCell ref="C49:C50"/>
    <mergeCell ref="C51:C52"/>
    <mergeCell ref="D43:E44"/>
    <mergeCell ref="D45:E46"/>
    <mergeCell ref="J39:J40"/>
    <mergeCell ref="K39:K40"/>
    <mergeCell ref="L21:P36"/>
    <mergeCell ref="N37:P40"/>
    <mergeCell ref="L37:M40"/>
    <mergeCell ref="C23:D23"/>
    <mergeCell ref="E23:F23"/>
    <mergeCell ref="G23:H23"/>
    <mergeCell ref="I23:J23"/>
    <mergeCell ref="C24:D24"/>
    <mergeCell ref="C26:D26"/>
    <mergeCell ref="E26:F26"/>
    <mergeCell ref="G26:H26"/>
    <mergeCell ref="I26:J26"/>
    <mergeCell ref="C27:D27"/>
    <mergeCell ref="E27:F27"/>
    <mergeCell ref="G27:H27"/>
    <mergeCell ref="I27:J27"/>
    <mergeCell ref="E24:F24"/>
    <mergeCell ref="G24:H24"/>
    <mergeCell ref="I24:J24"/>
    <mergeCell ref="C25:D25"/>
    <mergeCell ref="E25:F25"/>
    <mergeCell ref="G25:H25"/>
    <mergeCell ref="I25:J25"/>
    <mergeCell ref="C30:D30"/>
    <mergeCell ref="E30:F30"/>
    <mergeCell ref="G30:H30"/>
    <mergeCell ref="I30:J30"/>
    <mergeCell ref="C31:D31"/>
    <mergeCell ref="E31:F31"/>
    <mergeCell ref="G31:H31"/>
    <mergeCell ref="I31:J31"/>
    <mergeCell ref="C28:D28"/>
    <mergeCell ref="E28:F28"/>
    <mergeCell ref="G28:H28"/>
    <mergeCell ref="I28:J28"/>
    <mergeCell ref="C29:D29"/>
    <mergeCell ref="E29:F29"/>
    <mergeCell ref="G29:H29"/>
    <mergeCell ref="I29:J29"/>
    <mergeCell ref="A54:P55"/>
    <mergeCell ref="A56:P70"/>
    <mergeCell ref="C37:J38"/>
    <mergeCell ref="R21:T22"/>
    <mergeCell ref="C36:D36"/>
    <mergeCell ref="E36:F36"/>
    <mergeCell ref="G36:H36"/>
    <mergeCell ref="I36:J36"/>
    <mergeCell ref="C34:D34"/>
    <mergeCell ref="E34:F34"/>
    <mergeCell ref="G34:H34"/>
    <mergeCell ref="I34:J34"/>
    <mergeCell ref="C35:D35"/>
    <mergeCell ref="E35:F35"/>
    <mergeCell ref="G35:H35"/>
    <mergeCell ref="I35:J35"/>
    <mergeCell ref="C32:D32"/>
    <mergeCell ref="E32:F32"/>
    <mergeCell ref="G32:H32"/>
    <mergeCell ref="I32:J32"/>
    <mergeCell ref="C33:D33"/>
    <mergeCell ref="E33:F33"/>
    <mergeCell ref="G33:H33"/>
    <mergeCell ref="I33:J33"/>
    <mergeCell ref="R1:V2"/>
    <mergeCell ref="R9:R10"/>
    <mergeCell ref="S9:S10"/>
    <mergeCell ref="T9:T10"/>
    <mergeCell ref="U9:U10"/>
    <mergeCell ref="V9:V10"/>
    <mergeCell ref="W9:W10"/>
    <mergeCell ref="X9:X10"/>
    <mergeCell ref="R3:R4"/>
    <mergeCell ref="S3:S4"/>
    <mergeCell ref="T3:T4"/>
    <mergeCell ref="V3:V4"/>
    <mergeCell ref="U3:U4"/>
    <mergeCell ref="R16:T17"/>
    <mergeCell ref="U16:X17"/>
    <mergeCell ref="R18:T19"/>
    <mergeCell ref="U18:X19"/>
    <mergeCell ref="Y16:Y17"/>
    <mergeCell ref="Y18:Y19"/>
    <mergeCell ref="R6:Y7"/>
    <mergeCell ref="Y9:Y10"/>
    <mergeCell ref="R11:Y12"/>
    <mergeCell ref="R14:R15"/>
    <mergeCell ref="S14:S15"/>
    <mergeCell ref="T14:T15"/>
    <mergeCell ref="U14:U15"/>
    <mergeCell ref="V14:V15"/>
    <mergeCell ref="W14:W15"/>
    <mergeCell ref="X14:X15"/>
    <mergeCell ref="Y14:Y15"/>
  </mergeCells>
  <phoneticPr fontId="1" type="noConversion"/>
  <dataValidations count="4">
    <dataValidation type="list" allowBlank="1" showInputMessage="1" showErrorMessage="1" sqref="I18:I19" xr:uid="{8ABAFC80-D4BC-4F3E-B6FA-8DD303F53802}">
      <formula1>一级列表</formula1>
    </dataValidation>
    <dataValidation type="list" allowBlank="1" showInputMessage="1" showErrorMessage="1" sqref="K18:K19" xr:uid="{00E8A17C-0842-464A-A2D5-C44B416BE3A2}">
      <formula1>二级列表</formula1>
    </dataValidation>
    <dataValidation type="list" allowBlank="1" showInputMessage="1" showErrorMessage="1" sqref="M18:M19" xr:uid="{6A123DED-FDCE-4D3D-8632-CC0D3BF832F2}">
      <formula1>三级列表</formula1>
    </dataValidation>
    <dataValidation type="list" allowBlank="1" showInputMessage="1" showErrorMessage="1" sqref="V3:V4" xr:uid="{280C2D92-BD57-40CB-B5DF-514815860DB6}">
      <formula1>"自行填写1-999内任何数字或咨询创建者"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4FDABB4-02DA-4703-9929-F0D96B6FE253}">
          <x14:formula1>
            <xm:f>data!$I$2:$I$7</xm:f>
          </x14:formula1>
          <xm:sqref>O16:P19</xm:sqref>
        </x14:dataValidation>
        <x14:dataValidation type="list" allowBlank="1" showInputMessage="1" showErrorMessage="1" xr:uid="{0438215E-3DB9-439C-BE8E-20D745B1D600}">
          <x14:formula1>
            <xm:f>data!$L$2:$L$5</xm:f>
          </x14:formula1>
          <xm:sqref>P14:P15</xm:sqref>
        </x14:dataValidation>
        <x14:dataValidation type="list" allowBlank="1" showInputMessage="1" showErrorMessage="1" xr:uid="{EF73C29E-57B9-4AB1-8D7A-D2B18C3B6083}">
          <x14:formula1>
            <xm:f>DATA1!$J$2:$J$6</xm:f>
          </x14:formula1>
          <xm:sqref>M10:M11</xm:sqref>
        </x14:dataValidation>
        <x14:dataValidation type="list" allowBlank="1" showInputMessage="1" showErrorMessage="1" xr:uid="{92EF65BF-EF59-4E15-B3B1-0B2BB96817D3}">
          <x14:formula1>
            <xm:f>data!$V$3:$V$8</xm:f>
          </x14:formula1>
          <xm:sqref>U3:U4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4F858-7B3B-48DB-977B-E9377F9E8232}">
  <dimension ref="A1:J9"/>
  <sheetViews>
    <sheetView workbookViewId="0">
      <selection activeCell="J7" sqref="J7"/>
    </sheetView>
  </sheetViews>
  <sheetFormatPr defaultRowHeight="14" x14ac:dyDescent="0.3"/>
  <sheetData>
    <row r="1" spans="1:10" x14ac:dyDescent="0.3">
      <c r="A1" t="s">
        <v>423</v>
      </c>
      <c r="B1" t="s">
        <v>354</v>
      </c>
      <c r="C1" t="s">
        <v>355</v>
      </c>
      <c r="D1" t="s">
        <v>356</v>
      </c>
      <c r="E1" t="s">
        <v>269</v>
      </c>
      <c r="F1" t="s">
        <v>357</v>
      </c>
      <c r="G1" t="s">
        <v>358</v>
      </c>
      <c r="H1" t="s">
        <v>359</v>
      </c>
      <c r="I1" t="s">
        <v>360</v>
      </c>
    </row>
    <row r="2" spans="1:10" x14ac:dyDescent="0.3">
      <c r="A2" t="s">
        <v>424</v>
      </c>
      <c r="B2">
        <v>1.2</v>
      </c>
      <c r="C2">
        <v>0.8</v>
      </c>
      <c r="D2">
        <v>0.6</v>
      </c>
      <c r="E2">
        <v>0.6</v>
      </c>
      <c r="F2">
        <v>0.6</v>
      </c>
      <c r="G2">
        <v>0.7</v>
      </c>
      <c r="H2">
        <v>0.2</v>
      </c>
      <c r="I2">
        <v>0.2</v>
      </c>
      <c r="J2" cm="1">
        <f t="array" ref="J2">SUMPRODUCT(IFERROR(表格主体!$R$14:$Y$14,0),B2:I2)</f>
        <v>25.719999999999995</v>
      </c>
    </row>
    <row r="3" spans="1:10" x14ac:dyDescent="0.3">
      <c r="A3" t="s">
        <v>425</v>
      </c>
      <c r="B3">
        <v>0.5</v>
      </c>
      <c r="C3">
        <v>1.3</v>
      </c>
      <c r="D3">
        <v>0.6</v>
      </c>
      <c r="E3">
        <v>0.7</v>
      </c>
      <c r="F3">
        <v>0.4</v>
      </c>
      <c r="G3">
        <v>0.3</v>
      </c>
      <c r="H3">
        <v>0.2</v>
      </c>
      <c r="I3">
        <v>0.2</v>
      </c>
      <c r="J3" cm="1">
        <f t="array" ref="J3">SUMPRODUCT(IFERROR(表格主体!$R$14:$Y$14,0),B3:I3)</f>
        <v>15.529999999999998</v>
      </c>
    </row>
    <row r="4" spans="1:10" x14ac:dyDescent="0.3">
      <c r="A4" t="s">
        <v>426</v>
      </c>
      <c r="B4">
        <v>0.6</v>
      </c>
      <c r="C4">
        <v>0.8</v>
      </c>
      <c r="D4">
        <v>1.3</v>
      </c>
      <c r="E4">
        <v>0.8</v>
      </c>
      <c r="F4">
        <v>0.6</v>
      </c>
      <c r="G4">
        <v>0.2</v>
      </c>
      <c r="H4">
        <v>0.3</v>
      </c>
      <c r="I4">
        <v>0.3</v>
      </c>
      <c r="J4" cm="1">
        <f t="array" ref="J4">SUMPRODUCT(IFERROR(表格主体!$R$14:$Y$14,0),B4:I4)</f>
        <v>17.855</v>
      </c>
    </row>
    <row r="5" spans="1:10" x14ac:dyDescent="0.3">
      <c r="A5" t="s">
        <v>427</v>
      </c>
      <c r="B5">
        <v>0.4</v>
      </c>
      <c r="C5">
        <v>0.5</v>
      </c>
      <c r="D5">
        <v>0.4</v>
      </c>
      <c r="E5">
        <v>1.4</v>
      </c>
      <c r="F5">
        <v>0.6</v>
      </c>
      <c r="G5">
        <v>0.2</v>
      </c>
      <c r="H5">
        <v>0.5</v>
      </c>
      <c r="I5">
        <v>0.4</v>
      </c>
      <c r="J5" cm="1">
        <f t="array" ref="J5">SUMPRODUCT(IFERROR(表格主体!$R$14:$Y$14,0),B5:I5)</f>
        <v>20.564999999999998</v>
      </c>
    </row>
    <row r="6" spans="1:10" x14ac:dyDescent="0.3">
      <c r="A6" t="s">
        <v>428</v>
      </c>
      <c r="B6">
        <v>0.6</v>
      </c>
      <c r="C6">
        <v>0.5</v>
      </c>
      <c r="D6">
        <v>0.7</v>
      </c>
      <c r="E6">
        <v>0.5</v>
      </c>
      <c r="F6">
        <v>1.4</v>
      </c>
      <c r="G6">
        <v>0.4</v>
      </c>
      <c r="H6">
        <v>0.2</v>
      </c>
      <c r="I6">
        <v>0.3</v>
      </c>
      <c r="J6" cm="1">
        <f t="array" ref="J6">SUMPRODUCT(IFERROR(表格主体!$R$14:$Y$14,0),B6:I6)</f>
        <v>16.560000000000002</v>
      </c>
    </row>
    <row r="7" spans="1:10" x14ac:dyDescent="0.3">
      <c r="A7" t="s">
        <v>429</v>
      </c>
      <c r="B7">
        <v>0.9</v>
      </c>
      <c r="C7">
        <v>0.6</v>
      </c>
      <c r="D7">
        <v>0.3</v>
      </c>
      <c r="E7">
        <v>0.4</v>
      </c>
      <c r="F7">
        <v>0.6</v>
      </c>
      <c r="G7">
        <v>1.5</v>
      </c>
      <c r="H7">
        <v>0.3</v>
      </c>
      <c r="I7">
        <v>0.2</v>
      </c>
      <c r="J7" cm="1">
        <f t="array" ref="J7">SUMPRODUCT(IFERROR(表格主体!$R$14:$Y$14,0),B7:I7)</f>
        <v>31.004999999999999</v>
      </c>
    </row>
    <row r="8" spans="1:10" x14ac:dyDescent="0.3">
      <c r="A8" t="s">
        <v>430</v>
      </c>
      <c r="B8">
        <v>0.2</v>
      </c>
      <c r="C8">
        <v>0.2</v>
      </c>
      <c r="D8">
        <v>0.2</v>
      </c>
      <c r="E8">
        <v>0.6</v>
      </c>
      <c r="F8">
        <v>0.4</v>
      </c>
      <c r="G8">
        <v>0.4</v>
      </c>
      <c r="H8">
        <v>1.6</v>
      </c>
      <c r="I8">
        <v>0.6</v>
      </c>
      <c r="J8" cm="1">
        <f t="array" ref="J8">SUMPRODUCT(IFERROR(表格主体!$R$14:$Y$14,0),B8:I8)</f>
        <v>22.5</v>
      </c>
    </row>
    <row r="9" spans="1:10" x14ac:dyDescent="0.3">
      <c r="A9" t="s">
        <v>431</v>
      </c>
      <c r="B9">
        <v>0.3</v>
      </c>
      <c r="C9">
        <v>0.4</v>
      </c>
      <c r="D9">
        <v>0.5</v>
      </c>
      <c r="E9">
        <v>0.5</v>
      </c>
      <c r="F9">
        <v>0.5</v>
      </c>
      <c r="G9">
        <v>0.4</v>
      </c>
      <c r="H9">
        <v>0.6</v>
      </c>
      <c r="I9">
        <v>1.5</v>
      </c>
      <c r="J9" cm="1">
        <f t="array" ref="J9">SUMPRODUCT(IFERROR(表格主体!$R$14:$Y$14,0),B9:I9)</f>
        <v>19.200000000000003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8F031-AF5C-45B2-8EBE-CB883B0E9973}">
  <dimension ref="A1:C57"/>
  <sheetViews>
    <sheetView zoomScaleNormal="100" workbookViewId="0">
      <selection activeCell="C39" sqref="C39:C40"/>
    </sheetView>
  </sheetViews>
  <sheetFormatPr defaultRowHeight="14" x14ac:dyDescent="0.3"/>
  <sheetData>
    <row r="1" spans="1:3" x14ac:dyDescent="0.3">
      <c r="A1" t="s">
        <v>362</v>
      </c>
      <c r="B1" t="s">
        <v>419</v>
      </c>
      <c r="C1" t="s">
        <v>420</v>
      </c>
    </row>
    <row r="2" spans="1:3" x14ac:dyDescent="0.3">
      <c r="A2" t="s">
        <v>363</v>
      </c>
      <c r="B2" t="s">
        <v>359</v>
      </c>
      <c r="C2">
        <v>0.2</v>
      </c>
    </row>
    <row r="3" spans="1:3" x14ac:dyDescent="0.3">
      <c r="A3" t="s">
        <v>364</v>
      </c>
      <c r="B3" t="s">
        <v>360</v>
      </c>
      <c r="C3">
        <v>0.3</v>
      </c>
    </row>
    <row r="4" spans="1:3" x14ac:dyDescent="0.3">
      <c r="A4" t="s">
        <v>365</v>
      </c>
      <c r="B4" t="s">
        <v>355</v>
      </c>
      <c r="C4">
        <v>0.1</v>
      </c>
    </row>
    <row r="5" spans="1:3" x14ac:dyDescent="0.3">
      <c r="A5" t="s">
        <v>366</v>
      </c>
      <c r="B5" t="s">
        <v>360</v>
      </c>
      <c r="C5">
        <v>0.4</v>
      </c>
    </row>
    <row r="6" spans="1:3" x14ac:dyDescent="0.3">
      <c r="A6" t="s">
        <v>367</v>
      </c>
      <c r="B6" t="s">
        <v>356</v>
      </c>
      <c r="C6">
        <v>0.3</v>
      </c>
    </row>
    <row r="7" spans="1:3" x14ac:dyDescent="0.3">
      <c r="A7" t="s">
        <v>368</v>
      </c>
      <c r="B7" t="s">
        <v>360</v>
      </c>
      <c r="C7">
        <v>0.2</v>
      </c>
    </row>
    <row r="8" spans="1:3" x14ac:dyDescent="0.3">
      <c r="A8" t="s">
        <v>369</v>
      </c>
      <c r="B8" t="s">
        <v>360</v>
      </c>
      <c r="C8">
        <v>0.2</v>
      </c>
    </row>
    <row r="9" spans="1:3" x14ac:dyDescent="0.3">
      <c r="A9" t="s">
        <v>370</v>
      </c>
      <c r="B9" t="s">
        <v>360</v>
      </c>
      <c r="C9">
        <v>0.2</v>
      </c>
    </row>
    <row r="10" spans="1:3" x14ac:dyDescent="0.3">
      <c r="A10" t="s">
        <v>371</v>
      </c>
      <c r="B10" t="s">
        <v>357</v>
      </c>
      <c r="C10">
        <v>0.3</v>
      </c>
    </row>
    <row r="11" spans="1:3" x14ac:dyDescent="0.3">
      <c r="A11" t="s">
        <v>414</v>
      </c>
      <c r="B11" t="s">
        <v>359</v>
      </c>
      <c r="C11">
        <v>0.5</v>
      </c>
    </row>
    <row r="12" spans="1:3" x14ac:dyDescent="0.3">
      <c r="A12" t="s">
        <v>372</v>
      </c>
      <c r="B12" t="s">
        <v>269</v>
      </c>
      <c r="C12">
        <v>0.2</v>
      </c>
    </row>
    <row r="13" spans="1:3" x14ac:dyDescent="0.3">
      <c r="A13" t="s">
        <v>373</v>
      </c>
      <c r="B13" t="s">
        <v>360</v>
      </c>
      <c r="C13">
        <v>0.8</v>
      </c>
    </row>
    <row r="14" spans="1:3" x14ac:dyDescent="0.3">
      <c r="A14" t="s">
        <v>374</v>
      </c>
      <c r="B14" t="s">
        <v>356</v>
      </c>
      <c r="C14">
        <v>0.4</v>
      </c>
    </row>
    <row r="15" spans="1:3" x14ac:dyDescent="0.3">
      <c r="A15" t="s">
        <v>375</v>
      </c>
      <c r="B15" t="s">
        <v>354</v>
      </c>
      <c r="C15">
        <v>0.3</v>
      </c>
    </row>
    <row r="16" spans="1:3" x14ac:dyDescent="0.3">
      <c r="A16" t="s">
        <v>376</v>
      </c>
      <c r="B16" t="s">
        <v>357</v>
      </c>
      <c r="C16">
        <v>0.3</v>
      </c>
    </row>
    <row r="17" spans="1:3" x14ac:dyDescent="0.3">
      <c r="A17" t="s">
        <v>377</v>
      </c>
      <c r="B17" t="s">
        <v>359</v>
      </c>
      <c r="C17">
        <v>0.4</v>
      </c>
    </row>
    <row r="18" spans="1:3" x14ac:dyDescent="0.3">
      <c r="A18" t="s">
        <v>415</v>
      </c>
      <c r="B18" t="s">
        <v>359</v>
      </c>
      <c r="C18">
        <v>0.5</v>
      </c>
    </row>
    <row r="19" spans="1:3" x14ac:dyDescent="0.3">
      <c r="A19" t="s">
        <v>378</v>
      </c>
      <c r="B19" t="s">
        <v>360</v>
      </c>
      <c r="C19">
        <v>0.3</v>
      </c>
    </row>
    <row r="20" spans="1:3" x14ac:dyDescent="0.3">
      <c r="A20" t="s">
        <v>416</v>
      </c>
      <c r="B20" t="s">
        <v>354</v>
      </c>
      <c r="C20">
        <v>0.6</v>
      </c>
    </row>
    <row r="21" spans="1:3" x14ac:dyDescent="0.3">
      <c r="A21" t="s">
        <v>417</v>
      </c>
      <c r="B21" t="s">
        <v>354</v>
      </c>
      <c r="C21">
        <v>0.6</v>
      </c>
    </row>
    <row r="22" spans="1:3" x14ac:dyDescent="0.3">
      <c r="A22" t="s">
        <v>418</v>
      </c>
      <c r="B22" t="s">
        <v>355</v>
      </c>
      <c r="C22">
        <v>0.6</v>
      </c>
    </row>
    <row r="23" spans="1:3" x14ac:dyDescent="0.3">
      <c r="A23" t="s">
        <v>379</v>
      </c>
      <c r="B23" t="s">
        <v>355</v>
      </c>
      <c r="C23">
        <v>0.6</v>
      </c>
    </row>
    <row r="24" spans="1:3" x14ac:dyDescent="0.3">
      <c r="A24" t="s">
        <v>380</v>
      </c>
      <c r="B24" t="s">
        <v>357</v>
      </c>
      <c r="C24">
        <v>0.4</v>
      </c>
    </row>
    <row r="25" spans="1:3" x14ac:dyDescent="0.3">
      <c r="A25" t="s">
        <v>381</v>
      </c>
      <c r="B25" t="s">
        <v>269</v>
      </c>
      <c r="C25">
        <v>0.2</v>
      </c>
    </row>
    <row r="26" spans="1:3" x14ac:dyDescent="0.3">
      <c r="A26" t="s">
        <v>382</v>
      </c>
      <c r="B26" t="s">
        <v>360</v>
      </c>
      <c r="C26">
        <v>0.3</v>
      </c>
    </row>
    <row r="27" spans="1:3" x14ac:dyDescent="0.3">
      <c r="A27" t="s">
        <v>383</v>
      </c>
      <c r="B27" t="s">
        <v>354</v>
      </c>
      <c r="C27">
        <v>0.3</v>
      </c>
    </row>
    <row r="28" spans="1:3" x14ac:dyDescent="0.3">
      <c r="A28" t="s">
        <v>384</v>
      </c>
      <c r="B28" t="s">
        <v>269</v>
      </c>
      <c r="C28">
        <v>0.2</v>
      </c>
    </row>
    <row r="29" spans="1:3" x14ac:dyDescent="0.3">
      <c r="A29" t="s">
        <v>385</v>
      </c>
      <c r="B29" t="s">
        <v>355</v>
      </c>
      <c r="C29">
        <v>0.3</v>
      </c>
    </row>
    <row r="30" spans="1:3" x14ac:dyDescent="0.3">
      <c r="A30" t="s">
        <v>386</v>
      </c>
      <c r="B30" t="s">
        <v>356</v>
      </c>
      <c r="C30">
        <v>0.4</v>
      </c>
    </row>
    <row r="31" spans="1:3" x14ac:dyDescent="0.3">
      <c r="A31" t="s">
        <v>387</v>
      </c>
      <c r="B31" t="s">
        <v>269</v>
      </c>
      <c r="C31">
        <v>0.3</v>
      </c>
    </row>
    <row r="32" spans="1:3" x14ac:dyDescent="0.3">
      <c r="A32" t="s">
        <v>388</v>
      </c>
      <c r="B32" t="s">
        <v>359</v>
      </c>
      <c r="C32">
        <v>0.3</v>
      </c>
    </row>
    <row r="33" spans="1:3" x14ac:dyDescent="0.3">
      <c r="A33" t="s">
        <v>389</v>
      </c>
      <c r="B33" t="s">
        <v>355</v>
      </c>
      <c r="C33">
        <v>0.2</v>
      </c>
    </row>
    <row r="34" spans="1:3" x14ac:dyDescent="0.3">
      <c r="A34" t="s">
        <v>390</v>
      </c>
      <c r="B34" t="s">
        <v>359</v>
      </c>
      <c r="C34">
        <v>0.4</v>
      </c>
    </row>
    <row r="35" spans="1:3" x14ac:dyDescent="0.3">
      <c r="A35" t="s">
        <v>391</v>
      </c>
      <c r="B35" t="s">
        <v>359</v>
      </c>
      <c r="C35">
        <v>0.4</v>
      </c>
    </row>
    <row r="36" spans="1:3" x14ac:dyDescent="0.3">
      <c r="A36" t="s">
        <v>392</v>
      </c>
      <c r="B36" t="s">
        <v>357</v>
      </c>
      <c r="C36">
        <v>0.4</v>
      </c>
    </row>
    <row r="37" spans="1:3" x14ac:dyDescent="0.3">
      <c r="A37" t="s">
        <v>393</v>
      </c>
      <c r="B37" t="s">
        <v>357</v>
      </c>
      <c r="C37">
        <v>0.3</v>
      </c>
    </row>
    <row r="38" spans="1:3" x14ac:dyDescent="0.3">
      <c r="A38" t="s">
        <v>394</v>
      </c>
      <c r="B38" t="s">
        <v>269</v>
      </c>
      <c r="C38">
        <v>0.3</v>
      </c>
    </row>
    <row r="39" spans="1:3" x14ac:dyDescent="0.3">
      <c r="A39" t="s">
        <v>395</v>
      </c>
      <c r="B39" t="s">
        <v>360</v>
      </c>
      <c r="C39">
        <v>0.4</v>
      </c>
    </row>
    <row r="40" spans="1:3" x14ac:dyDescent="0.3">
      <c r="A40" t="s">
        <v>396</v>
      </c>
      <c r="B40" t="s">
        <v>358</v>
      </c>
      <c r="C40">
        <v>0.7</v>
      </c>
    </row>
    <row r="41" spans="1:3" x14ac:dyDescent="0.3">
      <c r="A41" t="s">
        <v>397</v>
      </c>
      <c r="B41" t="s">
        <v>360</v>
      </c>
      <c r="C41">
        <v>0.3</v>
      </c>
    </row>
    <row r="42" spans="1:3" x14ac:dyDescent="0.3">
      <c r="A42" t="s">
        <v>398</v>
      </c>
      <c r="B42" t="s">
        <v>360</v>
      </c>
      <c r="C42">
        <v>0.4</v>
      </c>
    </row>
    <row r="43" spans="1:3" x14ac:dyDescent="0.3">
      <c r="A43" t="s">
        <v>399</v>
      </c>
      <c r="B43" t="s">
        <v>269</v>
      </c>
      <c r="C43">
        <v>0.3</v>
      </c>
    </row>
    <row r="44" spans="1:3" x14ac:dyDescent="0.3">
      <c r="A44" t="s">
        <v>400</v>
      </c>
      <c r="B44" t="s">
        <v>357</v>
      </c>
      <c r="C44">
        <v>0.2</v>
      </c>
    </row>
    <row r="45" spans="1:3" x14ac:dyDescent="0.3">
      <c r="A45" t="s">
        <v>401</v>
      </c>
      <c r="B45" t="s">
        <v>359</v>
      </c>
      <c r="C45">
        <v>0.3</v>
      </c>
    </row>
    <row r="46" spans="1:3" x14ac:dyDescent="0.3">
      <c r="A46" t="s">
        <v>402</v>
      </c>
      <c r="B46" t="s">
        <v>359</v>
      </c>
      <c r="C46">
        <v>0.3</v>
      </c>
    </row>
    <row r="47" spans="1:3" x14ac:dyDescent="0.3">
      <c r="A47" t="s">
        <v>403</v>
      </c>
      <c r="B47" t="s">
        <v>356</v>
      </c>
      <c r="C47">
        <v>0.3</v>
      </c>
    </row>
    <row r="48" spans="1:3" x14ac:dyDescent="0.3">
      <c r="A48" t="s">
        <v>404</v>
      </c>
      <c r="B48" t="s">
        <v>355</v>
      </c>
      <c r="C48">
        <v>0.3</v>
      </c>
    </row>
    <row r="49" spans="1:3" x14ac:dyDescent="0.3">
      <c r="A49" t="s">
        <v>405</v>
      </c>
      <c r="B49" t="s">
        <v>356</v>
      </c>
      <c r="C49">
        <v>0.6</v>
      </c>
    </row>
    <row r="50" spans="1:3" x14ac:dyDescent="0.3">
      <c r="A50" t="s">
        <v>406</v>
      </c>
      <c r="B50" t="s">
        <v>357</v>
      </c>
      <c r="C50">
        <v>0.6</v>
      </c>
    </row>
    <row r="51" spans="1:3" x14ac:dyDescent="0.3">
      <c r="A51" t="s">
        <v>407</v>
      </c>
      <c r="B51" t="s">
        <v>357</v>
      </c>
      <c r="C51">
        <v>0.3</v>
      </c>
    </row>
    <row r="52" spans="1:3" x14ac:dyDescent="0.3">
      <c r="A52" t="s">
        <v>408</v>
      </c>
      <c r="B52" t="s">
        <v>357</v>
      </c>
      <c r="C52">
        <v>0.3</v>
      </c>
    </row>
    <row r="53" spans="1:3" x14ac:dyDescent="0.3">
      <c r="A53" t="s">
        <v>409</v>
      </c>
      <c r="B53" t="s">
        <v>357</v>
      </c>
      <c r="C53">
        <v>0.3</v>
      </c>
    </row>
    <row r="54" spans="1:3" x14ac:dyDescent="0.3">
      <c r="A54" t="s">
        <v>410</v>
      </c>
      <c r="B54" t="s">
        <v>358</v>
      </c>
      <c r="C54">
        <v>0.7</v>
      </c>
    </row>
    <row r="55" spans="1:3" x14ac:dyDescent="0.3">
      <c r="A55" t="s">
        <v>411</v>
      </c>
      <c r="B55" t="s">
        <v>355</v>
      </c>
      <c r="C55">
        <v>0.3</v>
      </c>
    </row>
    <row r="56" spans="1:3" x14ac:dyDescent="0.3">
      <c r="A56" t="s">
        <v>412</v>
      </c>
      <c r="B56" t="s">
        <v>360</v>
      </c>
      <c r="C56">
        <v>0.4</v>
      </c>
    </row>
    <row r="57" spans="1:3" x14ac:dyDescent="0.3">
      <c r="A57" t="s">
        <v>413</v>
      </c>
      <c r="B57" t="s">
        <v>358</v>
      </c>
      <c r="C57">
        <v>0.8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8166A-8804-4928-8770-D62E0DDDB03F}">
  <dimension ref="A1:C6"/>
  <sheetViews>
    <sheetView workbookViewId="0">
      <selection activeCell="F16" sqref="F16"/>
    </sheetView>
  </sheetViews>
  <sheetFormatPr defaultRowHeight="1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9</v>
      </c>
      <c r="C2">
        <v>10</v>
      </c>
    </row>
    <row r="3" spans="1:3" x14ac:dyDescent="0.3">
      <c r="A3" t="s">
        <v>4</v>
      </c>
      <c r="B3">
        <v>7</v>
      </c>
      <c r="C3">
        <v>8.9</v>
      </c>
    </row>
    <row r="4" spans="1:3" x14ac:dyDescent="0.3">
      <c r="A4" t="s">
        <v>5</v>
      </c>
      <c r="B4">
        <v>5</v>
      </c>
      <c r="C4">
        <v>6.9</v>
      </c>
    </row>
    <row r="5" spans="1:3" x14ac:dyDescent="0.3">
      <c r="A5" t="s">
        <v>6</v>
      </c>
      <c r="B5">
        <v>3</v>
      </c>
      <c r="C5">
        <v>4.9000000000000004</v>
      </c>
    </row>
    <row r="6" spans="1:3" x14ac:dyDescent="0.3">
      <c r="A6" t="s">
        <v>7</v>
      </c>
      <c r="B6">
        <v>0</v>
      </c>
      <c r="C6">
        <v>2.9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1F23D-F9D1-46E5-8170-99DB947B7D90}">
  <dimension ref="A1:AJ39"/>
  <sheetViews>
    <sheetView zoomScale="70" zoomScaleNormal="70" workbookViewId="0">
      <selection activeCell="K56" sqref="K56"/>
    </sheetView>
  </sheetViews>
  <sheetFormatPr defaultRowHeight="14" x14ac:dyDescent="0.3"/>
  <sheetData>
    <row r="1" spans="1:36" x14ac:dyDescent="0.3">
      <c r="A1" t="s">
        <v>42</v>
      </c>
      <c r="B1" t="s">
        <v>17</v>
      </c>
      <c r="C1" t="s">
        <v>18</v>
      </c>
      <c r="E1" t="s">
        <v>185</v>
      </c>
      <c r="F1" t="s">
        <v>197</v>
      </c>
      <c r="G1" t="s">
        <v>287</v>
      </c>
      <c r="I1" t="s">
        <v>169</v>
      </c>
      <c r="L1" t="s">
        <v>177</v>
      </c>
      <c r="N1" t="s">
        <v>178</v>
      </c>
      <c r="Q1" s="98" t="s">
        <v>212</v>
      </c>
      <c r="R1" s="98"/>
      <c r="S1" s="98"/>
      <c r="U1" t="s">
        <v>231</v>
      </c>
      <c r="Y1" t="s">
        <v>240</v>
      </c>
      <c r="Z1" t="s">
        <v>241</v>
      </c>
      <c r="AA1" t="s">
        <v>242</v>
      </c>
      <c r="AC1" t="s">
        <v>42</v>
      </c>
      <c r="AD1" t="s">
        <v>17</v>
      </c>
      <c r="AE1" t="s">
        <v>18</v>
      </c>
      <c r="AF1" t="s">
        <v>286</v>
      </c>
      <c r="AG1" t="s">
        <v>196</v>
      </c>
      <c r="AH1" t="s">
        <v>240</v>
      </c>
      <c r="AI1" t="s">
        <v>241</v>
      </c>
      <c r="AJ1" t="s">
        <v>242</v>
      </c>
    </row>
    <row r="2" spans="1:36" x14ac:dyDescent="0.3">
      <c r="A2" t="s">
        <v>31</v>
      </c>
      <c r="B2" t="s">
        <v>32</v>
      </c>
      <c r="C2" t="s">
        <v>153</v>
      </c>
      <c r="E2" t="s">
        <v>31</v>
      </c>
      <c r="F2" t="s">
        <v>211</v>
      </c>
      <c r="G2" t="str">
        <f>A2&amp;" - "&amp;B2&amp;" - "&amp;C2</f>
        <v>轨道突击群 - 空间站防卫组 - 穹顶空间站安保</v>
      </c>
      <c r="I2" t="s">
        <v>170</v>
      </c>
      <c r="L2">
        <v>1</v>
      </c>
      <c r="N2" t="s">
        <v>179</v>
      </c>
      <c r="Q2" t="s">
        <v>214</v>
      </c>
      <c r="R2" t="s">
        <v>224</v>
      </c>
      <c r="U2" t="s">
        <v>232</v>
      </c>
      <c r="V2" t="s">
        <v>233</v>
      </c>
      <c r="W2" t="s">
        <v>234</v>
      </c>
      <c r="Y2" t="s">
        <v>20</v>
      </c>
      <c r="Z2" t="s">
        <v>132</v>
      </c>
      <c r="AA2" t="s">
        <v>243</v>
      </c>
      <c r="AC2" t="s">
        <v>31</v>
      </c>
      <c r="AD2" t="s">
        <v>32</v>
      </c>
      <c r="AE2" t="s">
        <v>153</v>
      </c>
      <c r="AF2" t="s">
        <v>288</v>
      </c>
      <c r="AG2" t="s">
        <v>210</v>
      </c>
      <c r="AH2" t="s">
        <v>20</v>
      </c>
      <c r="AI2" t="s">
        <v>132</v>
      </c>
      <c r="AJ2" t="s">
        <v>243</v>
      </c>
    </row>
    <row r="3" spans="1:36" x14ac:dyDescent="0.3">
      <c r="A3" t="s">
        <v>31</v>
      </c>
      <c r="B3" t="s">
        <v>32</v>
      </c>
      <c r="C3" t="s">
        <v>154</v>
      </c>
      <c r="E3" t="s">
        <v>28</v>
      </c>
      <c r="F3" t="s">
        <v>211</v>
      </c>
      <c r="G3" t="str">
        <f t="shared" ref="G3:G39" si="0">A3&amp;" - "&amp;B3&amp;" - "&amp;C3</f>
        <v>轨道突击群 - 空间站防卫组 - 轨道巡逻队</v>
      </c>
      <c r="I3" t="s">
        <v>171</v>
      </c>
      <c r="L3">
        <v>2</v>
      </c>
      <c r="N3" t="s">
        <v>180</v>
      </c>
      <c r="Q3" t="s">
        <v>216</v>
      </c>
      <c r="R3" t="s">
        <v>226</v>
      </c>
      <c r="U3" t="s">
        <v>235</v>
      </c>
      <c r="V3" t="s">
        <v>341</v>
      </c>
      <c r="Y3" t="s">
        <v>20</v>
      </c>
      <c r="Z3" t="s">
        <v>133</v>
      </c>
      <c r="AA3" t="s">
        <v>244</v>
      </c>
      <c r="AC3" t="s">
        <v>31</v>
      </c>
      <c r="AD3" t="s">
        <v>32</v>
      </c>
      <c r="AE3" t="s">
        <v>154</v>
      </c>
      <c r="AF3" t="s">
        <v>289</v>
      </c>
      <c r="AG3" t="s">
        <v>210</v>
      </c>
      <c r="AH3" t="s">
        <v>20</v>
      </c>
      <c r="AI3" t="s">
        <v>133</v>
      </c>
      <c r="AJ3" t="s">
        <v>244</v>
      </c>
    </row>
    <row r="4" spans="1:36" x14ac:dyDescent="0.3">
      <c r="A4" t="s">
        <v>31</v>
      </c>
      <c r="B4" t="s">
        <v>33</v>
      </c>
      <c r="C4" t="s">
        <v>155</v>
      </c>
      <c r="E4" t="s">
        <v>22</v>
      </c>
      <c r="F4" t="s">
        <v>201</v>
      </c>
      <c r="G4" t="str">
        <f t="shared" si="0"/>
        <v>轨道突击群 - 轨道登陆队 - 地外设施突击组</v>
      </c>
      <c r="I4" t="s">
        <v>172</v>
      </c>
      <c r="L4">
        <v>3</v>
      </c>
      <c r="N4" t="s">
        <v>181</v>
      </c>
      <c r="Q4" t="s">
        <v>218</v>
      </c>
      <c r="R4" t="s">
        <v>228</v>
      </c>
      <c r="U4" t="s">
        <v>236</v>
      </c>
      <c r="V4" t="s">
        <v>340</v>
      </c>
      <c r="Y4" t="s">
        <v>21</v>
      </c>
      <c r="Z4" t="s">
        <v>245</v>
      </c>
      <c r="AA4" t="s">
        <v>246</v>
      </c>
      <c r="AC4" t="s">
        <v>31</v>
      </c>
      <c r="AD4" t="s">
        <v>33</v>
      </c>
      <c r="AE4" t="s">
        <v>155</v>
      </c>
      <c r="AF4" t="s">
        <v>290</v>
      </c>
      <c r="AG4" t="s">
        <v>210</v>
      </c>
      <c r="AH4" t="s">
        <v>21</v>
      </c>
      <c r="AI4" t="s">
        <v>245</v>
      </c>
      <c r="AJ4" t="s">
        <v>246</v>
      </c>
    </row>
    <row r="5" spans="1:36" x14ac:dyDescent="0.3">
      <c r="A5" t="s">
        <v>31</v>
      </c>
      <c r="B5" t="s">
        <v>33</v>
      </c>
      <c r="C5" t="s">
        <v>156</v>
      </c>
      <c r="E5" t="s">
        <v>39</v>
      </c>
      <c r="F5" t="s">
        <v>209</v>
      </c>
      <c r="G5" t="str">
        <f t="shared" si="0"/>
        <v>轨道突击群 - 轨道登陆队 - 低重力作战组</v>
      </c>
      <c r="I5" t="s">
        <v>173</v>
      </c>
      <c r="L5">
        <v>0</v>
      </c>
      <c r="N5" t="s">
        <v>182</v>
      </c>
      <c r="Q5" t="s">
        <v>220</v>
      </c>
      <c r="R5" t="s">
        <v>229</v>
      </c>
      <c r="U5" t="s">
        <v>237</v>
      </c>
      <c r="V5" t="s">
        <v>339</v>
      </c>
      <c r="Y5" t="s">
        <v>21</v>
      </c>
      <c r="Z5" t="s">
        <v>136</v>
      </c>
      <c r="AA5" t="s">
        <v>247</v>
      </c>
      <c r="AC5" t="s">
        <v>31</v>
      </c>
      <c r="AD5" t="s">
        <v>33</v>
      </c>
      <c r="AE5" t="s">
        <v>156</v>
      </c>
      <c r="AF5" t="s">
        <v>291</v>
      </c>
      <c r="AG5" t="s">
        <v>210</v>
      </c>
      <c r="AH5" t="s">
        <v>21</v>
      </c>
      <c r="AI5" t="s">
        <v>136</v>
      </c>
      <c r="AJ5" t="s">
        <v>247</v>
      </c>
    </row>
    <row r="6" spans="1:36" x14ac:dyDescent="0.3">
      <c r="A6" t="s">
        <v>28</v>
      </c>
      <c r="B6" t="s">
        <v>29</v>
      </c>
      <c r="C6" t="s">
        <v>148</v>
      </c>
      <c r="E6" t="s">
        <v>15</v>
      </c>
      <c r="F6" t="s">
        <v>203</v>
      </c>
      <c r="G6" t="str">
        <f t="shared" si="0"/>
        <v>核心特遣队 - 第1特遣小队（暗影） - 潜入组</v>
      </c>
      <c r="I6" t="s">
        <v>175</v>
      </c>
      <c r="N6" t="s">
        <v>183</v>
      </c>
      <c r="Q6" t="s">
        <v>222</v>
      </c>
      <c r="R6" t="s">
        <v>230</v>
      </c>
      <c r="U6" t="s">
        <v>238</v>
      </c>
      <c r="V6" t="s">
        <v>239</v>
      </c>
      <c r="Y6" t="s">
        <v>23</v>
      </c>
      <c r="Z6" t="s">
        <v>137</v>
      </c>
      <c r="AA6" t="s">
        <v>248</v>
      </c>
      <c r="AC6" t="s">
        <v>28</v>
      </c>
      <c r="AD6" t="s">
        <v>29</v>
      </c>
      <c r="AE6" t="s">
        <v>148</v>
      </c>
      <c r="AF6" t="s">
        <v>292</v>
      </c>
      <c r="AG6" t="s">
        <v>210</v>
      </c>
      <c r="AH6" t="s">
        <v>23</v>
      </c>
      <c r="AI6" t="s">
        <v>137</v>
      </c>
      <c r="AJ6" t="s">
        <v>248</v>
      </c>
    </row>
    <row r="7" spans="1:36" x14ac:dyDescent="0.3">
      <c r="A7" t="s">
        <v>28</v>
      </c>
      <c r="B7" t="s">
        <v>29</v>
      </c>
      <c r="C7" t="s">
        <v>149</v>
      </c>
      <c r="E7" t="s">
        <v>19</v>
      </c>
      <c r="F7" t="s">
        <v>199</v>
      </c>
      <c r="G7" t="str">
        <f t="shared" si="0"/>
        <v>核心特遣队 - 第1特遣小队（暗影） - 狙杀组</v>
      </c>
      <c r="I7" t="s">
        <v>176</v>
      </c>
      <c r="N7" t="s">
        <v>184</v>
      </c>
      <c r="U7" t="s">
        <v>342</v>
      </c>
      <c r="V7" t="s">
        <v>343</v>
      </c>
      <c r="Y7" t="s">
        <v>23</v>
      </c>
      <c r="Z7" t="s">
        <v>138</v>
      </c>
      <c r="AA7" t="s">
        <v>249</v>
      </c>
      <c r="AC7" t="s">
        <v>28</v>
      </c>
      <c r="AD7" t="s">
        <v>29</v>
      </c>
      <c r="AE7" t="s">
        <v>149</v>
      </c>
      <c r="AF7" t="s">
        <v>293</v>
      </c>
      <c r="AG7" t="s">
        <v>210</v>
      </c>
      <c r="AH7" t="s">
        <v>23</v>
      </c>
      <c r="AI7" t="s">
        <v>138</v>
      </c>
      <c r="AJ7" t="s">
        <v>249</v>
      </c>
    </row>
    <row r="8" spans="1:36" x14ac:dyDescent="0.3">
      <c r="A8" t="s">
        <v>28</v>
      </c>
      <c r="B8" t="s">
        <v>29</v>
      </c>
      <c r="C8" t="s">
        <v>150</v>
      </c>
      <c r="E8" t="s">
        <v>14</v>
      </c>
      <c r="F8" t="s">
        <v>205</v>
      </c>
      <c r="G8" t="str">
        <f t="shared" si="0"/>
        <v>核心特遣队 - 第1特遣小队（暗影） - 情报回收组</v>
      </c>
      <c r="U8" t="s">
        <v>344</v>
      </c>
      <c r="V8" t="s">
        <v>345</v>
      </c>
      <c r="Y8" t="s">
        <v>250</v>
      </c>
      <c r="Z8" t="s">
        <v>251</v>
      </c>
      <c r="AA8" t="s">
        <v>252</v>
      </c>
      <c r="AC8" t="s">
        <v>28</v>
      </c>
      <c r="AD8" t="s">
        <v>29</v>
      </c>
      <c r="AE8" t="s">
        <v>150</v>
      </c>
      <c r="AF8" t="s">
        <v>294</v>
      </c>
      <c r="AG8" t="s">
        <v>210</v>
      </c>
      <c r="AH8" t="s">
        <v>250</v>
      </c>
      <c r="AI8" t="s">
        <v>251</v>
      </c>
      <c r="AJ8" t="s">
        <v>252</v>
      </c>
    </row>
    <row r="9" spans="1:36" x14ac:dyDescent="0.3">
      <c r="A9" t="s">
        <v>28</v>
      </c>
      <c r="B9" t="s">
        <v>30</v>
      </c>
      <c r="C9" t="s">
        <v>151</v>
      </c>
      <c r="E9" t="s">
        <v>36</v>
      </c>
      <c r="F9" t="s">
        <v>207</v>
      </c>
      <c r="G9" t="str">
        <f t="shared" si="0"/>
        <v>核心特遣队 - 第2特遣小队（铁砧） - 装备测试组</v>
      </c>
      <c r="Y9" t="s">
        <v>250</v>
      </c>
      <c r="Z9" t="s">
        <v>140</v>
      </c>
      <c r="AA9" t="s">
        <v>253</v>
      </c>
      <c r="AC9" t="s">
        <v>28</v>
      </c>
      <c r="AD9" t="s">
        <v>30</v>
      </c>
      <c r="AE9" t="s">
        <v>151</v>
      </c>
      <c r="AF9" t="s">
        <v>295</v>
      </c>
      <c r="AG9" t="s">
        <v>210</v>
      </c>
      <c r="AH9" t="s">
        <v>250</v>
      </c>
      <c r="AI9" t="s">
        <v>140</v>
      </c>
      <c r="AJ9" t="s">
        <v>253</v>
      </c>
    </row>
    <row r="10" spans="1:36" x14ac:dyDescent="0.3">
      <c r="A10" t="s">
        <v>28</v>
      </c>
      <c r="B10" t="s">
        <v>30</v>
      </c>
      <c r="C10" t="s">
        <v>152</v>
      </c>
      <c r="E10" t="e">
        <f>IF($A9=#REF!,$B9,"")</f>
        <v>#REF!</v>
      </c>
      <c r="G10" t="str">
        <f t="shared" si="0"/>
        <v>核心特遣队 - 第2特遣小队（铁砧） - 特种爆破组</v>
      </c>
      <c r="Y10" t="s">
        <v>25</v>
      </c>
      <c r="Z10" t="s">
        <v>142</v>
      </c>
      <c r="AA10" t="s">
        <v>254</v>
      </c>
      <c r="AC10" t="s">
        <v>28</v>
      </c>
      <c r="AD10" t="s">
        <v>30</v>
      </c>
      <c r="AE10" t="s">
        <v>152</v>
      </c>
      <c r="AF10" t="s">
        <v>296</v>
      </c>
      <c r="AG10" t="s">
        <v>210</v>
      </c>
      <c r="AH10" t="s">
        <v>25</v>
      </c>
      <c r="AI10" t="s">
        <v>142</v>
      </c>
      <c r="AJ10" t="s">
        <v>254</v>
      </c>
    </row>
    <row r="11" spans="1:36" x14ac:dyDescent="0.3">
      <c r="A11" t="s">
        <v>28</v>
      </c>
      <c r="B11" t="s">
        <v>30</v>
      </c>
      <c r="C11" t="s">
        <v>16</v>
      </c>
      <c r="E11" t="e">
        <f>IF($A10=#REF!,$B10,"")</f>
        <v>#REF!</v>
      </c>
      <c r="G11" t="str">
        <f t="shared" si="0"/>
        <v>核心特遣队 - 第2特遣小队（铁砧） - 战术支援组</v>
      </c>
      <c r="Y11" t="s">
        <v>25</v>
      </c>
      <c r="Z11" t="s">
        <v>143</v>
      </c>
      <c r="AA11" t="s">
        <v>255</v>
      </c>
      <c r="AC11" t="s">
        <v>28</v>
      </c>
      <c r="AD11" t="s">
        <v>30</v>
      </c>
      <c r="AE11" t="s">
        <v>16</v>
      </c>
      <c r="AF11" t="s">
        <v>297</v>
      </c>
      <c r="AG11" t="s">
        <v>210</v>
      </c>
      <c r="AH11" t="s">
        <v>25</v>
      </c>
      <c r="AI11" t="s">
        <v>143</v>
      </c>
      <c r="AJ11" t="s">
        <v>255</v>
      </c>
    </row>
    <row r="12" spans="1:36" x14ac:dyDescent="0.3">
      <c r="A12" t="s">
        <v>22</v>
      </c>
      <c r="B12" t="s">
        <v>23</v>
      </c>
      <c r="C12" t="s">
        <v>137</v>
      </c>
      <c r="E12" t="e">
        <f>IF($A11=#REF!,$B11,"")</f>
        <v>#REF!</v>
      </c>
      <c r="G12" t="str">
        <f t="shared" si="0"/>
        <v>情报分析局 - 战略推演室 - 威胁建模组</v>
      </c>
      <c r="Y12" t="s">
        <v>26</v>
      </c>
      <c r="Z12" t="s">
        <v>144</v>
      </c>
      <c r="AA12" t="s">
        <v>256</v>
      </c>
      <c r="AC12" t="s">
        <v>22</v>
      </c>
      <c r="AD12" t="s">
        <v>23</v>
      </c>
      <c r="AE12" t="s">
        <v>137</v>
      </c>
      <c r="AF12" t="s">
        <v>298</v>
      </c>
      <c r="AG12" t="s">
        <v>200</v>
      </c>
      <c r="AH12" t="s">
        <v>26</v>
      </c>
      <c r="AI12" t="s">
        <v>144</v>
      </c>
      <c r="AJ12" t="s">
        <v>256</v>
      </c>
    </row>
    <row r="13" spans="1:36" x14ac:dyDescent="0.3">
      <c r="A13" t="s">
        <v>22</v>
      </c>
      <c r="B13" t="s">
        <v>23</v>
      </c>
      <c r="C13" t="s">
        <v>138</v>
      </c>
      <c r="E13" t="e">
        <f>IF($A12=#REF!,$B12,"")</f>
        <v>#REF!</v>
      </c>
      <c r="G13" t="str">
        <f t="shared" si="0"/>
        <v>情报分析局 - 战略推演室 - 战场预测组</v>
      </c>
      <c r="Y13" t="s">
        <v>26</v>
      </c>
      <c r="Z13" t="s">
        <v>257</v>
      </c>
      <c r="AA13" t="s">
        <v>258</v>
      </c>
      <c r="AC13" t="s">
        <v>22</v>
      </c>
      <c r="AD13" t="s">
        <v>23</v>
      </c>
      <c r="AE13" t="s">
        <v>138</v>
      </c>
      <c r="AF13" t="s">
        <v>299</v>
      </c>
      <c r="AG13" t="s">
        <v>200</v>
      </c>
      <c r="AH13" t="s">
        <v>26</v>
      </c>
      <c r="AI13" t="s">
        <v>257</v>
      </c>
      <c r="AJ13" t="s">
        <v>258</v>
      </c>
    </row>
    <row r="14" spans="1:36" x14ac:dyDescent="0.3">
      <c r="A14" t="s">
        <v>22</v>
      </c>
      <c r="B14" t="s">
        <v>24</v>
      </c>
      <c r="C14" t="s">
        <v>139</v>
      </c>
      <c r="E14" t="e">
        <f>IF($A13=#REF!,$B13,"")</f>
        <v>#REF!</v>
      </c>
      <c r="G14" t="str">
        <f t="shared" si="0"/>
        <v>情报分析局 - 外星技术解析科 - 潘多拉逆向研究组</v>
      </c>
      <c r="Y14" t="s">
        <v>259</v>
      </c>
      <c r="Z14" t="s">
        <v>146</v>
      </c>
      <c r="AA14" t="s">
        <v>260</v>
      </c>
      <c r="AC14" t="s">
        <v>22</v>
      </c>
      <c r="AD14" t="s">
        <v>24</v>
      </c>
      <c r="AE14" t="s">
        <v>139</v>
      </c>
      <c r="AF14" t="s">
        <v>300</v>
      </c>
      <c r="AG14" t="s">
        <v>200</v>
      </c>
      <c r="AH14" t="s">
        <v>259</v>
      </c>
      <c r="AI14" t="s">
        <v>146</v>
      </c>
      <c r="AJ14" t="s">
        <v>260</v>
      </c>
    </row>
    <row r="15" spans="1:36" x14ac:dyDescent="0.3">
      <c r="A15" t="s">
        <v>22</v>
      </c>
      <c r="B15" t="s">
        <v>24</v>
      </c>
      <c r="C15" t="s">
        <v>140</v>
      </c>
      <c r="E15" t="e">
        <f>IF($A14=#REF!,$B14,"")</f>
        <v>#REF!</v>
      </c>
      <c r="G15" t="str">
        <f t="shared" si="0"/>
        <v>情报分析局 - 外星技术解析科 - 地外生物分析组</v>
      </c>
      <c r="Y15" t="s">
        <v>259</v>
      </c>
      <c r="Z15" t="s">
        <v>147</v>
      </c>
      <c r="AA15" t="s">
        <v>261</v>
      </c>
      <c r="AC15" t="s">
        <v>22</v>
      </c>
      <c r="AD15" t="s">
        <v>24</v>
      </c>
      <c r="AE15" t="s">
        <v>140</v>
      </c>
      <c r="AF15" t="s">
        <v>301</v>
      </c>
      <c r="AG15" t="s">
        <v>200</v>
      </c>
      <c r="AH15" t="s">
        <v>259</v>
      </c>
      <c r="AI15" t="s">
        <v>147</v>
      </c>
      <c r="AJ15" t="s">
        <v>261</v>
      </c>
    </row>
    <row r="16" spans="1:36" x14ac:dyDescent="0.3">
      <c r="A16" t="s">
        <v>22</v>
      </c>
      <c r="B16" t="s">
        <v>24</v>
      </c>
      <c r="C16" t="s">
        <v>141</v>
      </c>
      <c r="E16" t="e">
        <f>IF($A15=#REF!,$B15,"")</f>
        <v>#REF!</v>
      </c>
      <c r="G16" t="str">
        <f t="shared" si="0"/>
        <v>情报分析局 - 外星技术解析科 - 技术威胁评估组</v>
      </c>
      <c r="Y16" t="s">
        <v>262</v>
      </c>
      <c r="Z16" t="s">
        <v>148</v>
      </c>
      <c r="AA16" t="s">
        <v>263</v>
      </c>
      <c r="AC16" t="s">
        <v>22</v>
      </c>
      <c r="AD16" t="s">
        <v>24</v>
      </c>
      <c r="AE16" t="s">
        <v>141</v>
      </c>
      <c r="AF16" t="s">
        <v>302</v>
      </c>
      <c r="AG16" t="s">
        <v>200</v>
      </c>
      <c r="AH16" t="s">
        <v>262</v>
      </c>
      <c r="AI16" t="s">
        <v>148</v>
      </c>
      <c r="AJ16" t="s">
        <v>263</v>
      </c>
    </row>
    <row r="17" spans="1:36" x14ac:dyDescent="0.3">
      <c r="A17" t="s">
        <v>39</v>
      </c>
      <c r="B17" t="s">
        <v>40</v>
      </c>
      <c r="C17" t="s">
        <v>165</v>
      </c>
      <c r="E17" t="e">
        <f>IF($A16=#REF!,$B16,"")</f>
        <v>#REF!</v>
      </c>
      <c r="G17" t="str">
        <f t="shared" si="0"/>
        <v>信息技术处 - 网络安全组 - 穹顶系统防御组</v>
      </c>
      <c r="Y17" t="s">
        <v>262</v>
      </c>
      <c r="Z17" t="s">
        <v>149</v>
      </c>
      <c r="AA17" t="s">
        <v>264</v>
      </c>
      <c r="AC17" t="s">
        <v>39</v>
      </c>
      <c r="AD17" t="s">
        <v>40</v>
      </c>
      <c r="AE17" t="s">
        <v>165</v>
      </c>
      <c r="AF17" t="s">
        <v>303</v>
      </c>
      <c r="AG17" t="s">
        <v>208</v>
      </c>
      <c r="AH17" t="s">
        <v>262</v>
      </c>
      <c r="AI17" t="s">
        <v>149</v>
      </c>
      <c r="AJ17" t="s">
        <v>264</v>
      </c>
    </row>
    <row r="18" spans="1:36" x14ac:dyDescent="0.3">
      <c r="A18" t="s">
        <v>39</v>
      </c>
      <c r="B18" t="s">
        <v>40</v>
      </c>
      <c r="C18" t="s">
        <v>166</v>
      </c>
      <c r="E18" t="e">
        <f>IF($A17=#REF!,$B17,"")</f>
        <v>#REF!</v>
      </c>
      <c r="G18" t="str">
        <f t="shared" si="0"/>
        <v>信息技术处 - 网络安全组 - 渗透反制组</v>
      </c>
      <c r="Y18" t="s">
        <v>262</v>
      </c>
      <c r="Z18" t="s">
        <v>150</v>
      </c>
      <c r="AA18" t="s">
        <v>265</v>
      </c>
      <c r="AC18" t="s">
        <v>39</v>
      </c>
      <c r="AD18" t="s">
        <v>40</v>
      </c>
      <c r="AE18" t="s">
        <v>166</v>
      </c>
      <c r="AF18" t="s">
        <v>304</v>
      </c>
      <c r="AG18" t="s">
        <v>208</v>
      </c>
      <c r="AH18" t="s">
        <v>262</v>
      </c>
      <c r="AI18" t="s">
        <v>150</v>
      </c>
      <c r="AJ18" t="s">
        <v>265</v>
      </c>
    </row>
    <row r="19" spans="1:36" x14ac:dyDescent="0.3">
      <c r="A19" t="s">
        <v>39</v>
      </c>
      <c r="B19" t="s">
        <v>41</v>
      </c>
      <c r="C19" t="s">
        <v>167</v>
      </c>
      <c r="E19" t="e">
        <f>IF($A18=#REF!,$B18,"")</f>
        <v>#REF!</v>
      </c>
      <c r="G19" t="str">
        <f t="shared" si="0"/>
        <v>信息技术处 - 数据挖掘科 - 情报数据分析组</v>
      </c>
      <c r="Y19" t="s">
        <v>266</v>
      </c>
      <c r="Z19" t="s">
        <v>151</v>
      </c>
      <c r="AA19" t="s">
        <v>267</v>
      </c>
      <c r="AC19" t="s">
        <v>39</v>
      </c>
      <c r="AD19" t="s">
        <v>41</v>
      </c>
      <c r="AE19" t="s">
        <v>167</v>
      </c>
      <c r="AF19" t="s">
        <v>305</v>
      </c>
      <c r="AG19" t="s">
        <v>208</v>
      </c>
      <c r="AH19" t="s">
        <v>266</v>
      </c>
      <c r="AI19" t="s">
        <v>151</v>
      </c>
      <c r="AJ19" t="s">
        <v>267</v>
      </c>
    </row>
    <row r="20" spans="1:36" x14ac:dyDescent="0.3">
      <c r="A20" t="s">
        <v>39</v>
      </c>
      <c r="B20" t="s">
        <v>41</v>
      </c>
      <c r="C20" t="s">
        <v>168</v>
      </c>
      <c r="E20" t="e">
        <f>IF($A19=#REF!,$B19,"")</f>
        <v>#REF!</v>
      </c>
      <c r="G20" t="str">
        <f t="shared" si="0"/>
        <v>信息技术处 - 数据挖掘科 - 通信拦截解析组</v>
      </c>
      <c r="Y20" t="s">
        <v>266</v>
      </c>
      <c r="Z20" t="s">
        <v>152</v>
      </c>
      <c r="AA20" t="s">
        <v>268</v>
      </c>
      <c r="AC20" t="s">
        <v>39</v>
      </c>
      <c r="AD20" t="s">
        <v>41</v>
      </c>
      <c r="AE20" t="s">
        <v>168</v>
      </c>
      <c r="AF20" t="s">
        <v>306</v>
      </c>
      <c r="AG20" t="s">
        <v>208</v>
      </c>
      <c r="AH20" t="s">
        <v>266</v>
      </c>
      <c r="AI20" t="s">
        <v>152</v>
      </c>
      <c r="AJ20" t="s">
        <v>268</v>
      </c>
    </row>
    <row r="21" spans="1:36" x14ac:dyDescent="0.3">
      <c r="A21" t="s">
        <v>15</v>
      </c>
      <c r="B21" t="s">
        <v>25</v>
      </c>
      <c r="C21" t="s">
        <v>142</v>
      </c>
      <c r="E21" t="e">
        <f>IF($A20=#REF!,$B20,"")</f>
        <v>#REF!</v>
      </c>
      <c r="G21" t="str">
        <f t="shared" si="0"/>
        <v>医疗监察署 - 战地医疗组 - 前线急救分队</v>
      </c>
      <c r="Y21" t="s">
        <v>266</v>
      </c>
      <c r="Z21" t="s">
        <v>16</v>
      </c>
      <c r="AA21" t="s">
        <v>269</v>
      </c>
      <c r="AC21" t="s">
        <v>15</v>
      </c>
      <c r="AD21" t="s">
        <v>25</v>
      </c>
      <c r="AE21" t="s">
        <v>142</v>
      </c>
      <c r="AF21" t="s">
        <v>307</v>
      </c>
      <c r="AG21" t="s">
        <v>202</v>
      </c>
      <c r="AH21" t="s">
        <v>266</v>
      </c>
      <c r="AI21" t="s">
        <v>16</v>
      </c>
      <c r="AJ21" t="s">
        <v>269</v>
      </c>
    </row>
    <row r="22" spans="1:36" x14ac:dyDescent="0.3">
      <c r="A22" t="s">
        <v>15</v>
      </c>
      <c r="B22" t="s">
        <v>25</v>
      </c>
      <c r="C22" t="s">
        <v>143</v>
      </c>
      <c r="E22" t="e">
        <f>IF($A21=#REF!,$B21,"")</f>
        <v>#REF!</v>
      </c>
      <c r="G22" t="str">
        <f t="shared" si="0"/>
        <v>医疗监察署 - 战地医疗组 - 重伤转运组</v>
      </c>
      <c r="Y22" t="s">
        <v>32</v>
      </c>
      <c r="Z22" t="s">
        <v>153</v>
      </c>
      <c r="AA22" t="s">
        <v>270</v>
      </c>
      <c r="AC22" t="s">
        <v>15</v>
      </c>
      <c r="AD22" t="s">
        <v>25</v>
      </c>
      <c r="AE22" t="s">
        <v>143</v>
      </c>
      <c r="AF22" t="s">
        <v>308</v>
      </c>
      <c r="AG22" t="s">
        <v>202</v>
      </c>
      <c r="AH22" t="s">
        <v>32</v>
      </c>
      <c r="AI22" t="s">
        <v>153</v>
      </c>
      <c r="AJ22" t="s">
        <v>270</v>
      </c>
    </row>
    <row r="23" spans="1:36" x14ac:dyDescent="0.3">
      <c r="A23" t="s">
        <v>15</v>
      </c>
      <c r="B23" t="s">
        <v>26</v>
      </c>
      <c r="C23" t="s">
        <v>144</v>
      </c>
      <c r="E23" t="e">
        <f>IF($A22=#REF!,$B22,"")</f>
        <v>#REF!</v>
      </c>
      <c r="G23" t="str">
        <f t="shared" si="0"/>
        <v>医疗监察署 - 心理干预科 - 创伤后干预组</v>
      </c>
      <c r="Y23" t="s">
        <v>32</v>
      </c>
      <c r="Z23" t="s">
        <v>154</v>
      </c>
      <c r="AA23" t="s">
        <v>271</v>
      </c>
      <c r="AC23" t="s">
        <v>15</v>
      </c>
      <c r="AD23" t="s">
        <v>26</v>
      </c>
      <c r="AE23" t="s">
        <v>144</v>
      </c>
      <c r="AF23" t="s">
        <v>309</v>
      </c>
      <c r="AG23" t="s">
        <v>202</v>
      </c>
      <c r="AH23" t="s">
        <v>32</v>
      </c>
      <c r="AI23" t="s">
        <v>154</v>
      </c>
      <c r="AJ23" t="s">
        <v>271</v>
      </c>
    </row>
    <row r="24" spans="1:36" x14ac:dyDescent="0.3">
      <c r="A24" t="s">
        <v>15</v>
      </c>
      <c r="B24" t="s">
        <v>26</v>
      </c>
      <c r="C24" t="s">
        <v>145</v>
      </c>
      <c r="E24" t="e">
        <f>IF($A23=#REF!,$B23,"")</f>
        <v>#REF!</v>
      </c>
      <c r="G24" t="str">
        <f t="shared" si="0"/>
        <v>医疗监察署 - 心理干预科 - 洗脑恢复治疗组</v>
      </c>
      <c r="Y24" t="s">
        <v>33</v>
      </c>
      <c r="Z24" t="s">
        <v>155</v>
      </c>
      <c r="AA24" t="s">
        <v>272</v>
      </c>
      <c r="AC24" t="s">
        <v>15</v>
      </c>
      <c r="AD24" t="s">
        <v>26</v>
      </c>
      <c r="AE24" t="s">
        <v>145</v>
      </c>
      <c r="AF24" t="s">
        <v>310</v>
      </c>
      <c r="AG24" t="s">
        <v>202</v>
      </c>
      <c r="AH24" t="s">
        <v>33</v>
      </c>
      <c r="AI24" t="s">
        <v>155</v>
      </c>
      <c r="AJ24" t="s">
        <v>272</v>
      </c>
    </row>
    <row r="25" spans="1:36" x14ac:dyDescent="0.3">
      <c r="A25" t="s">
        <v>15</v>
      </c>
      <c r="B25" t="s">
        <v>27</v>
      </c>
      <c r="C25" t="s">
        <v>146</v>
      </c>
      <c r="E25" t="e">
        <f>IF($A24=#REF!,$B24,"")</f>
        <v>#REF!</v>
      </c>
      <c r="G25" t="str">
        <f t="shared" si="0"/>
        <v>医疗监察署 - 生物安全实验室 - 外星污染隔离组</v>
      </c>
      <c r="Y25" t="s">
        <v>33</v>
      </c>
      <c r="Z25" t="s">
        <v>156</v>
      </c>
      <c r="AA25" t="s">
        <v>273</v>
      </c>
      <c r="AC25" t="s">
        <v>15</v>
      </c>
      <c r="AD25" t="s">
        <v>27</v>
      </c>
      <c r="AE25" t="s">
        <v>146</v>
      </c>
      <c r="AF25" t="s">
        <v>311</v>
      </c>
      <c r="AG25" t="s">
        <v>202</v>
      </c>
      <c r="AH25" t="s">
        <v>33</v>
      </c>
      <c r="AI25" t="s">
        <v>156</v>
      </c>
      <c r="AJ25" t="s">
        <v>273</v>
      </c>
    </row>
    <row r="26" spans="1:36" x14ac:dyDescent="0.3">
      <c r="A26" t="s">
        <v>15</v>
      </c>
      <c r="B26" t="s">
        <v>27</v>
      </c>
      <c r="C26" t="s">
        <v>147</v>
      </c>
      <c r="E26" t="e">
        <f>IF($A25=#REF!,$B25,"")</f>
        <v>#REF!</v>
      </c>
      <c r="G26" t="str">
        <f t="shared" si="0"/>
        <v>医疗监察署 - 生物安全实验室 - 疫苗研发组</v>
      </c>
      <c r="Y26" t="s">
        <v>34</v>
      </c>
      <c r="Z26" t="s">
        <v>157</v>
      </c>
      <c r="AA26" t="s">
        <v>274</v>
      </c>
      <c r="AC26" t="s">
        <v>15</v>
      </c>
      <c r="AD26" t="s">
        <v>27</v>
      </c>
      <c r="AE26" t="s">
        <v>147</v>
      </c>
      <c r="AF26" t="s">
        <v>312</v>
      </c>
      <c r="AG26" t="s">
        <v>202</v>
      </c>
      <c r="AH26" t="s">
        <v>34</v>
      </c>
      <c r="AI26" t="s">
        <v>157</v>
      </c>
      <c r="AJ26" t="s">
        <v>274</v>
      </c>
    </row>
    <row r="27" spans="1:36" x14ac:dyDescent="0.3">
      <c r="A27" t="s">
        <v>19</v>
      </c>
      <c r="B27" t="s">
        <v>20</v>
      </c>
      <c r="C27" t="s">
        <v>132</v>
      </c>
      <c r="E27" t="e">
        <f>IF($A26=#REF!,$B26,"")</f>
        <v>#REF!</v>
      </c>
      <c r="G27" t="str">
        <f t="shared" si="0"/>
        <v>战略指挥中心 - 作战指挥室 - 全局战术决策组</v>
      </c>
      <c r="Y27" t="s">
        <v>34</v>
      </c>
      <c r="Z27" t="s">
        <v>158</v>
      </c>
      <c r="AA27" t="s">
        <v>275</v>
      </c>
      <c r="AC27" t="s">
        <v>19</v>
      </c>
      <c r="AD27" t="s">
        <v>20</v>
      </c>
      <c r="AE27" t="s">
        <v>132</v>
      </c>
      <c r="AF27" t="s">
        <v>313</v>
      </c>
      <c r="AG27" t="s">
        <v>198</v>
      </c>
      <c r="AH27" t="s">
        <v>34</v>
      </c>
      <c r="AI27" t="s">
        <v>158</v>
      </c>
      <c r="AJ27" t="s">
        <v>275</v>
      </c>
    </row>
    <row r="28" spans="1:36" x14ac:dyDescent="0.3">
      <c r="A28" t="s">
        <v>19</v>
      </c>
      <c r="B28" t="s">
        <v>20</v>
      </c>
      <c r="C28" t="s">
        <v>133</v>
      </c>
      <c r="E28" t="e">
        <f>IF($A27=#REF!,$B27,"")</f>
        <v>#REF!</v>
      </c>
      <c r="G28" t="str">
        <f t="shared" si="0"/>
        <v>战略指挥中心 - 作战指挥室 - 危机响应组</v>
      </c>
      <c r="Y28" t="s">
        <v>35</v>
      </c>
      <c r="Z28" t="s">
        <v>159</v>
      </c>
      <c r="AA28" t="s">
        <v>276</v>
      </c>
      <c r="AC28" t="s">
        <v>19</v>
      </c>
      <c r="AD28" t="s">
        <v>20</v>
      </c>
      <c r="AE28" t="s">
        <v>133</v>
      </c>
      <c r="AF28" t="s">
        <v>314</v>
      </c>
      <c r="AG28" t="s">
        <v>198</v>
      </c>
      <c r="AH28" t="s">
        <v>35</v>
      </c>
      <c r="AI28" t="s">
        <v>159</v>
      </c>
      <c r="AJ28" t="s">
        <v>276</v>
      </c>
    </row>
    <row r="29" spans="1:36" x14ac:dyDescent="0.3">
      <c r="A29" t="s">
        <v>19</v>
      </c>
      <c r="B29" t="s">
        <v>20</v>
      </c>
      <c r="C29" t="s">
        <v>134</v>
      </c>
      <c r="E29" t="e">
        <f>IF($A28=#REF!,$B28,"")</f>
        <v>#REF!</v>
      </c>
      <c r="G29" t="str">
        <f t="shared" si="0"/>
        <v>战略指挥中心 - 作战指挥室 - 联合作战协调组</v>
      </c>
      <c r="Y29" t="s">
        <v>35</v>
      </c>
      <c r="Z29" t="s">
        <v>160</v>
      </c>
      <c r="AA29" t="s">
        <v>277</v>
      </c>
      <c r="AC29" t="s">
        <v>19</v>
      </c>
      <c r="AD29" t="s">
        <v>20</v>
      </c>
      <c r="AE29" t="s">
        <v>134</v>
      </c>
      <c r="AF29" t="s">
        <v>315</v>
      </c>
      <c r="AG29" t="s">
        <v>198</v>
      </c>
      <c r="AH29" t="s">
        <v>35</v>
      </c>
      <c r="AI29" t="s">
        <v>160</v>
      </c>
      <c r="AJ29" t="s">
        <v>277</v>
      </c>
    </row>
    <row r="30" spans="1:36" x14ac:dyDescent="0.3">
      <c r="A30" t="s">
        <v>19</v>
      </c>
      <c r="B30" t="s">
        <v>21</v>
      </c>
      <c r="C30" t="s">
        <v>135</v>
      </c>
      <c r="E30" t="e">
        <f>IF($A29=#REF!,$B29,"")</f>
        <v>#REF!</v>
      </c>
      <c r="G30" t="str">
        <f t="shared" si="0"/>
        <v>战略指挥中心 - 危机处理组 - 紧急事态研判组</v>
      </c>
      <c r="Y30" t="s">
        <v>37</v>
      </c>
      <c r="Z30" t="s">
        <v>161</v>
      </c>
      <c r="AA30" t="s">
        <v>278</v>
      </c>
      <c r="AC30" t="s">
        <v>19</v>
      </c>
      <c r="AD30" t="s">
        <v>21</v>
      </c>
      <c r="AE30" t="s">
        <v>135</v>
      </c>
      <c r="AF30" t="s">
        <v>316</v>
      </c>
      <c r="AG30" t="s">
        <v>198</v>
      </c>
      <c r="AH30" t="s">
        <v>37</v>
      </c>
      <c r="AI30" t="s">
        <v>161</v>
      </c>
      <c r="AJ30" t="s">
        <v>278</v>
      </c>
    </row>
    <row r="31" spans="1:36" x14ac:dyDescent="0.3">
      <c r="A31" t="s">
        <v>19</v>
      </c>
      <c r="B31" t="s">
        <v>21</v>
      </c>
      <c r="C31" t="s">
        <v>136</v>
      </c>
      <c r="E31" t="e">
        <f>IF($A30=#REF!,$B30,"")</f>
        <v>#REF!</v>
      </c>
      <c r="G31" t="str">
        <f t="shared" si="0"/>
        <v>战略指挥中心 - 危机处理组 - 快速反应调度组</v>
      </c>
      <c r="Y31" t="s">
        <v>37</v>
      </c>
      <c r="Z31" t="s">
        <v>162</v>
      </c>
      <c r="AA31" t="s">
        <v>279</v>
      </c>
      <c r="AC31" t="s">
        <v>19</v>
      </c>
      <c r="AD31" t="s">
        <v>21</v>
      </c>
      <c r="AE31" t="s">
        <v>136</v>
      </c>
      <c r="AF31" t="s">
        <v>317</v>
      </c>
      <c r="AG31" t="s">
        <v>198</v>
      </c>
      <c r="AH31" t="s">
        <v>37</v>
      </c>
      <c r="AI31" t="s">
        <v>162</v>
      </c>
      <c r="AJ31" t="s">
        <v>279</v>
      </c>
    </row>
    <row r="32" spans="1:36" x14ac:dyDescent="0.3">
      <c r="A32" t="s">
        <v>14</v>
      </c>
      <c r="B32" t="s">
        <v>34</v>
      </c>
      <c r="C32" t="s">
        <v>157</v>
      </c>
      <c r="E32" t="e">
        <f>IF($A31=#REF!,$B31,"")</f>
        <v>#REF!</v>
      </c>
      <c r="G32" t="str">
        <f t="shared" si="0"/>
        <v>战术远程组 - 狙击支援科 - 超远程火力组</v>
      </c>
      <c r="Y32" t="s">
        <v>38</v>
      </c>
      <c r="Z32" t="s">
        <v>163</v>
      </c>
      <c r="AA32" t="s">
        <v>280</v>
      </c>
      <c r="AC32" t="s">
        <v>14</v>
      </c>
      <c r="AD32" t="s">
        <v>34</v>
      </c>
      <c r="AE32" t="s">
        <v>157</v>
      </c>
      <c r="AF32" t="s">
        <v>318</v>
      </c>
      <c r="AG32" t="s">
        <v>204</v>
      </c>
      <c r="AH32" t="s">
        <v>38</v>
      </c>
      <c r="AI32" t="s">
        <v>163</v>
      </c>
      <c r="AJ32" t="s">
        <v>280</v>
      </c>
    </row>
    <row r="33" spans="1:36" x14ac:dyDescent="0.3">
      <c r="A33" t="s">
        <v>14</v>
      </c>
      <c r="B33" t="s">
        <v>34</v>
      </c>
      <c r="C33" t="s">
        <v>158</v>
      </c>
      <c r="E33" t="e">
        <f>IF($A32=#REF!,$B32,"")</f>
        <v>#REF!</v>
      </c>
      <c r="G33" t="str">
        <f t="shared" si="0"/>
        <v>战术远程组 - 狙击支援科 - 观测引导组</v>
      </c>
      <c r="Y33" t="s">
        <v>38</v>
      </c>
      <c r="Z33" t="s">
        <v>164</v>
      </c>
      <c r="AA33" t="s">
        <v>281</v>
      </c>
      <c r="AC33" t="s">
        <v>14</v>
      </c>
      <c r="AD33" t="s">
        <v>34</v>
      </c>
      <c r="AE33" t="s">
        <v>158</v>
      </c>
      <c r="AF33" t="s">
        <v>319</v>
      </c>
      <c r="AG33" t="s">
        <v>204</v>
      </c>
      <c r="AH33" t="s">
        <v>38</v>
      </c>
      <c r="AI33" t="s">
        <v>164</v>
      </c>
      <c r="AJ33" t="s">
        <v>281</v>
      </c>
    </row>
    <row r="34" spans="1:36" x14ac:dyDescent="0.3">
      <c r="A34" t="s">
        <v>14</v>
      </c>
      <c r="B34" t="s">
        <v>35</v>
      </c>
      <c r="C34" t="s">
        <v>159</v>
      </c>
      <c r="E34" t="e">
        <f>IF($A33=#REF!,$B33,"")</f>
        <v>#REF!</v>
      </c>
      <c r="G34" t="str">
        <f t="shared" si="0"/>
        <v>战术远程组 - 火力协调室 - 轨道炮调度组</v>
      </c>
      <c r="Y34" t="s">
        <v>40</v>
      </c>
      <c r="Z34" t="s">
        <v>165</v>
      </c>
      <c r="AA34" t="s">
        <v>282</v>
      </c>
      <c r="AC34" t="s">
        <v>14</v>
      </c>
      <c r="AD34" t="s">
        <v>35</v>
      </c>
      <c r="AE34" t="s">
        <v>159</v>
      </c>
      <c r="AF34" t="s">
        <v>320</v>
      </c>
      <c r="AG34" t="s">
        <v>204</v>
      </c>
      <c r="AH34" t="s">
        <v>40</v>
      </c>
      <c r="AI34" t="s">
        <v>165</v>
      </c>
      <c r="AJ34" t="s">
        <v>282</v>
      </c>
    </row>
    <row r="35" spans="1:36" x14ac:dyDescent="0.3">
      <c r="A35" t="s">
        <v>14</v>
      </c>
      <c r="B35" t="s">
        <v>35</v>
      </c>
      <c r="C35" t="s">
        <v>160</v>
      </c>
      <c r="E35" t="e">
        <f>IF($A34=#REF!,$B34,"")</f>
        <v>#REF!</v>
      </c>
      <c r="G35" t="str">
        <f t="shared" si="0"/>
        <v>战术远程组 - 火力协调室 - 地面火力支援组</v>
      </c>
      <c r="Y35" t="s">
        <v>40</v>
      </c>
      <c r="Z35" t="s">
        <v>166</v>
      </c>
      <c r="AA35" t="s">
        <v>283</v>
      </c>
      <c r="AC35" t="s">
        <v>14</v>
      </c>
      <c r="AD35" t="s">
        <v>35</v>
      </c>
      <c r="AE35" t="s">
        <v>160</v>
      </c>
      <c r="AF35" t="s">
        <v>321</v>
      </c>
      <c r="AG35" t="s">
        <v>204</v>
      </c>
      <c r="AH35" t="s">
        <v>40</v>
      </c>
      <c r="AI35" t="s">
        <v>166</v>
      </c>
      <c r="AJ35" t="s">
        <v>283</v>
      </c>
    </row>
    <row r="36" spans="1:36" x14ac:dyDescent="0.3">
      <c r="A36" t="s">
        <v>36</v>
      </c>
      <c r="B36" t="s">
        <v>37</v>
      </c>
      <c r="C36" t="s">
        <v>161</v>
      </c>
      <c r="E36" t="e">
        <f>IF($A35=#REF!,$B35,"")</f>
        <v>#REF!</v>
      </c>
      <c r="G36" t="str">
        <f t="shared" si="0"/>
        <v>装备研发科 - 外骨骼实验室 - 动力装甲测试组</v>
      </c>
      <c r="Y36" t="s">
        <v>41</v>
      </c>
      <c r="Z36" t="s">
        <v>167</v>
      </c>
      <c r="AA36" t="s">
        <v>284</v>
      </c>
      <c r="AC36" t="s">
        <v>36</v>
      </c>
      <c r="AD36" t="s">
        <v>37</v>
      </c>
      <c r="AE36" t="s">
        <v>161</v>
      </c>
      <c r="AF36" t="s">
        <v>322</v>
      </c>
      <c r="AG36" t="s">
        <v>206</v>
      </c>
      <c r="AH36" t="s">
        <v>41</v>
      </c>
      <c r="AI36" t="s">
        <v>167</v>
      </c>
      <c r="AJ36" t="s">
        <v>284</v>
      </c>
    </row>
    <row r="37" spans="1:36" x14ac:dyDescent="0.3">
      <c r="A37" t="s">
        <v>36</v>
      </c>
      <c r="B37" t="s">
        <v>37</v>
      </c>
      <c r="C37" t="s">
        <v>162</v>
      </c>
      <c r="E37" t="e">
        <f>IF($A36=#REF!,$B36,"")</f>
        <v>#REF!</v>
      </c>
      <c r="G37" t="str">
        <f t="shared" si="0"/>
        <v>装备研发科 - 外骨骼实验室 - 义体适配组</v>
      </c>
      <c r="Y37" t="s">
        <v>41</v>
      </c>
      <c r="Z37" t="s">
        <v>168</v>
      </c>
      <c r="AA37" t="s">
        <v>285</v>
      </c>
      <c r="AC37" t="s">
        <v>36</v>
      </c>
      <c r="AD37" t="s">
        <v>37</v>
      </c>
      <c r="AE37" t="s">
        <v>162</v>
      </c>
      <c r="AF37" t="s">
        <v>323</v>
      </c>
      <c r="AG37" t="s">
        <v>206</v>
      </c>
      <c r="AH37" t="s">
        <v>41</v>
      </c>
      <c r="AI37" t="s">
        <v>168</v>
      </c>
      <c r="AJ37" t="s">
        <v>285</v>
      </c>
    </row>
    <row r="38" spans="1:36" x14ac:dyDescent="0.3">
      <c r="A38" t="s">
        <v>36</v>
      </c>
      <c r="B38" t="s">
        <v>38</v>
      </c>
      <c r="C38" t="s">
        <v>163</v>
      </c>
      <c r="E38" t="e">
        <f>IF($A37=#REF!,$B37,"")</f>
        <v>#REF!</v>
      </c>
      <c r="G38" t="str">
        <f t="shared" si="0"/>
        <v>装备研发科 - 武器测试场 - 实弹测试组</v>
      </c>
      <c r="AC38" t="s">
        <v>36</v>
      </c>
      <c r="AD38" t="s">
        <v>38</v>
      </c>
      <c r="AE38" t="s">
        <v>163</v>
      </c>
      <c r="AF38" t="s">
        <v>324</v>
      </c>
      <c r="AG38" t="s">
        <v>206</v>
      </c>
    </row>
    <row r="39" spans="1:36" x14ac:dyDescent="0.3">
      <c r="A39" t="s">
        <v>36</v>
      </c>
      <c r="B39" t="s">
        <v>38</v>
      </c>
      <c r="C39" t="s">
        <v>164</v>
      </c>
      <c r="E39" t="e">
        <f>IF($A38=#REF!,$B38,"")</f>
        <v>#REF!</v>
      </c>
      <c r="G39" t="str">
        <f t="shared" si="0"/>
        <v>装备研发科 - 武器测试场 - 能量武器实验组</v>
      </c>
      <c r="AC39" t="s">
        <v>36</v>
      </c>
      <c r="AD39" t="s">
        <v>38</v>
      </c>
      <c r="AE39" t="s">
        <v>164</v>
      </c>
      <c r="AF39" t="s">
        <v>325</v>
      </c>
      <c r="AG39" t="s">
        <v>206</v>
      </c>
    </row>
  </sheetData>
  <sortState xmlns:xlrd2="http://schemas.microsoft.com/office/spreadsheetml/2017/richdata2" ref="A2:C39">
    <sortCondition ref="A2:A39"/>
  </sortState>
  <mergeCells count="1">
    <mergeCell ref="Q1:S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FC6D3-9250-413D-B2EC-F12D69B0AABA}">
  <dimension ref="A1:L39"/>
  <sheetViews>
    <sheetView zoomScale="85" zoomScaleNormal="85" workbookViewId="0">
      <selection activeCell="K40" sqref="K40"/>
    </sheetView>
  </sheetViews>
  <sheetFormatPr defaultRowHeight="14" x14ac:dyDescent="0.3"/>
  <sheetData>
    <row r="1" spans="1:12" x14ac:dyDescent="0.3">
      <c r="A1" t="s">
        <v>42</v>
      </c>
      <c r="B1" t="s">
        <v>17</v>
      </c>
      <c r="C1" t="s">
        <v>18</v>
      </c>
      <c r="D1" t="s">
        <v>286</v>
      </c>
      <c r="E1" t="s">
        <v>196</v>
      </c>
      <c r="F1" t="s">
        <v>240</v>
      </c>
      <c r="G1" t="s">
        <v>241</v>
      </c>
      <c r="H1" t="s">
        <v>242</v>
      </c>
      <c r="I1" t="s">
        <v>326</v>
      </c>
      <c r="J1" t="s">
        <v>330</v>
      </c>
      <c r="K1" t="s">
        <v>327</v>
      </c>
      <c r="L1" t="s">
        <v>432</v>
      </c>
    </row>
    <row r="2" spans="1:12" x14ac:dyDescent="0.3">
      <c r="A2" t="s">
        <v>31</v>
      </c>
      <c r="B2" t="s">
        <v>32</v>
      </c>
      <c r="C2" t="s">
        <v>153</v>
      </c>
      <c r="D2" t="s">
        <v>288</v>
      </c>
      <c r="E2" t="s">
        <v>210</v>
      </c>
      <c r="F2" t="s">
        <v>20</v>
      </c>
      <c r="G2" t="s">
        <v>132</v>
      </c>
      <c r="H2" t="s">
        <v>243</v>
      </c>
      <c r="I2" t="s">
        <v>331</v>
      </c>
      <c r="J2" t="s">
        <v>213</v>
      </c>
      <c r="K2" t="s">
        <v>223</v>
      </c>
      <c r="L2" t="s">
        <v>433</v>
      </c>
    </row>
    <row r="3" spans="1:12" x14ac:dyDescent="0.3">
      <c r="A3" t="s">
        <v>31</v>
      </c>
      <c r="B3" t="s">
        <v>32</v>
      </c>
      <c r="C3" t="s">
        <v>154</v>
      </c>
      <c r="D3" t="s">
        <v>289</v>
      </c>
      <c r="E3" t="s">
        <v>210</v>
      </c>
      <c r="F3" t="s">
        <v>20</v>
      </c>
      <c r="G3" t="s">
        <v>133</v>
      </c>
      <c r="H3" t="s">
        <v>244</v>
      </c>
      <c r="I3" t="s">
        <v>332</v>
      </c>
      <c r="J3" t="s">
        <v>215</v>
      </c>
      <c r="K3" t="s">
        <v>225</v>
      </c>
      <c r="L3" t="s">
        <v>433</v>
      </c>
    </row>
    <row r="4" spans="1:12" x14ac:dyDescent="0.3">
      <c r="A4" t="s">
        <v>31</v>
      </c>
      <c r="B4" t="s">
        <v>33</v>
      </c>
      <c r="C4" t="s">
        <v>155</v>
      </c>
      <c r="D4" t="s">
        <v>290</v>
      </c>
      <c r="E4" t="s">
        <v>210</v>
      </c>
      <c r="F4" t="s">
        <v>21</v>
      </c>
      <c r="G4" t="s">
        <v>245</v>
      </c>
      <c r="H4" t="s">
        <v>246</v>
      </c>
      <c r="I4" t="s">
        <v>333</v>
      </c>
      <c r="J4" t="s">
        <v>217</v>
      </c>
      <c r="K4" t="s">
        <v>227</v>
      </c>
      <c r="L4" t="s">
        <v>434</v>
      </c>
    </row>
    <row r="5" spans="1:12" x14ac:dyDescent="0.3">
      <c r="A5" t="s">
        <v>31</v>
      </c>
      <c r="B5" t="s">
        <v>33</v>
      </c>
      <c r="C5" t="s">
        <v>156</v>
      </c>
      <c r="D5" t="s">
        <v>291</v>
      </c>
      <c r="E5" t="s">
        <v>210</v>
      </c>
      <c r="F5" t="s">
        <v>21</v>
      </c>
      <c r="G5" t="s">
        <v>136</v>
      </c>
      <c r="H5" t="s">
        <v>247</v>
      </c>
      <c r="I5" t="s">
        <v>334</v>
      </c>
      <c r="J5" t="s">
        <v>219</v>
      </c>
      <c r="K5" t="s">
        <v>328</v>
      </c>
      <c r="L5" t="s">
        <v>434</v>
      </c>
    </row>
    <row r="6" spans="1:12" x14ac:dyDescent="0.3">
      <c r="A6" t="s">
        <v>28</v>
      </c>
      <c r="B6" t="s">
        <v>29</v>
      </c>
      <c r="C6" t="s">
        <v>148</v>
      </c>
      <c r="D6" t="s">
        <v>292</v>
      </c>
      <c r="E6" t="s">
        <v>210</v>
      </c>
      <c r="F6" t="s">
        <v>23</v>
      </c>
      <c r="G6" t="s">
        <v>137</v>
      </c>
      <c r="H6" t="s">
        <v>248</v>
      </c>
      <c r="I6" t="s">
        <v>335</v>
      </c>
      <c r="J6" t="s">
        <v>221</v>
      </c>
      <c r="K6" t="s">
        <v>329</v>
      </c>
      <c r="L6" t="s">
        <v>426</v>
      </c>
    </row>
    <row r="7" spans="1:12" x14ac:dyDescent="0.3">
      <c r="A7" t="s">
        <v>28</v>
      </c>
      <c r="B7" t="s">
        <v>29</v>
      </c>
      <c r="C7" t="s">
        <v>149</v>
      </c>
      <c r="D7" t="s">
        <v>293</v>
      </c>
      <c r="E7" t="s">
        <v>210</v>
      </c>
      <c r="F7" t="s">
        <v>23</v>
      </c>
      <c r="G7" t="s">
        <v>138</v>
      </c>
      <c r="H7" t="s">
        <v>249</v>
      </c>
      <c r="L7" t="s">
        <v>425</v>
      </c>
    </row>
    <row r="8" spans="1:12" x14ac:dyDescent="0.3">
      <c r="A8" t="s">
        <v>28</v>
      </c>
      <c r="B8" t="s">
        <v>29</v>
      </c>
      <c r="C8" t="s">
        <v>150</v>
      </c>
      <c r="D8" t="s">
        <v>294</v>
      </c>
      <c r="E8" t="s">
        <v>210</v>
      </c>
      <c r="F8" t="s">
        <v>250</v>
      </c>
      <c r="G8" t="s">
        <v>251</v>
      </c>
      <c r="H8" t="s">
        <v>252</v>
      </c>
      <c r="L8" t="s">
        <v>435</v>
      </c>
    </row>
    <row r="9" spans="1:12" x14ac:dyDescent="0.3">
      <c r="A9" t="s">
        <v>28</v>
      </c>
      <c r="B9" t="s">
        <v>30</v>
      </c>
      <c r="C9" t="s">
        <v>151</v>
      </c>
      <c r="D9" t="s">
        <v>295</v>
      </c>
      <c r="E9" t="s">
        <v>210</v>
      </c>
      <c r="F9" t="s">
        <v>250</v>
      </c>
      <c r="G9" t="s">
        <v>140</v>
      </c>
      <c r="H9" t="s">
        <v>253</v>
      </c>
      <c r="L9" t="s">
        <v>436</v>
      </c>
    </row>
    <row r="10" spans="1:12" x14ac:dyDescent="0.3">
      <c r="A10" t="s">
        <v>28</v>
      </c>
      <c r="B10" t="s">
        <v>30</v>
      </c>
      <c r="C10" t="s">
        <v>152</v>
      </c>
      <c r="D10" t="s">
        <v>296</v>
      </c>
      <c r="E10" t="s">
        <v>210</v>
      </c>
      <c r="F10" t="s">
        <v>25</v>
      </c>
      <c r="G10" t="s">
        <v>142</v>
      </c>
      <c r="H10" t="s">
        <v>254</v>
      </c>
      <c r="L10" t="s">
        <v>437</v>
      </c>
    </row>
    <row r="11" spans="1:12" x14ac:dyDescent="0.3">
      <c r="A11" t="s">
        <v>28</v>
      </c>
      <c r="B11" t="s">
        <v>30</v>
      </c>
      <c r="C11" t="s">
        <v>16</v>
      </c>
      <c r="D11" t="s">
        <v>297</v>
      </c>
      <c r="E11" t="s">
        <v>210</v>
      </c>
      <c r="F11" t="s">
        <v>25</v>
      </c>
      <c r="G11" t="s">
        <v>143</v>
      </c>
      <c r="H11" t="s">
        <v>255</v>
      </c>
      <c r="L11" t="s">
        <v>438</v>
      </c>
    </row>
    <row r="12" spans="1:12" x14ac:dyDescent="0.3">
      <c r="A12" t="s">
        <v>22</v>
      </c>
      <c r="B12" t="s">
        <v>23</v>
      </c>
      <c r="C12" t="s">
        <v>137</v>
      </c>
      <c r="D12" t="s">
        <v>298</v>
      </c>
      <c r="E12" t="s">
        <v>200</v>
      </c>
      <c r="F12" t="s">
        <v>26</v>
      </c>
      <c r="G12" t="s">
        <v>144</v>
      </c>
      <c r="H12" t="s">
        <v>256</v>
      </c>
      <c r="L12" t="s">
        <v>439</v>
      </c>
    </row>
    <row r="13" spans="1:12" x14ac:dyDescent="0.3">
      <c r="A13" t="s">
        <v>22</v>
      </c>
      <c r="B13" t="s">
        <v>23</v>
      </c>
      <c r="C13" t="s">
        <v>138</v>
      </c>
      <c r="D13" t="s">
        <v>299</v>
      </c>
      <c r="E13" t="s">
        <v>200</v>
      </c>
      <c r="F13" t="s">
        <v>26</v>
      </c>
      <c r="G13" t="s">
        <v>257</v>
      </c>
      <c r="H13" t="s">
        <v>258</v>
      </c>
      <c r="L13" t="s">
        <v>439</v>
      </c>
    </row>
    <row r="14" spans="1:12" x14ac:dyDescent="0.3">
      <c r="A14" t="s">
        <v>22</v>
      </c>
      <c r="B14" t="s">
        <v>24</v>
      </c>
      <c r="C14" t="s">
        <v>139</v>
      </c>
      <c r="D14" t="s">
        <v>300</v>
      </c>
      <c r="E14" t="s">
        <v>200</v>
      </c>
      <c r="F14" t="s">
        <v>259</v>
      </c>
      <c r="G14" t="s">
        <v>146</v>
      </c>
      <c r="H14" t="s">
        <v>260</v>
      </c>
      <c r="L14" t="s">
        <v>440</v>
      </c>
    </row>
    <row r="15" spans="1:12" x14ac:dyDescent="0.3">
      <c r="A15" t="s">
        <v>22</v>
      </c>
      <c r="B15" t="s">
        <v>24</v>
      </c>
      <c r="C15" t="s">
        <v>140</v>
      </c>
      <c r="D15" t="s">
        <v>301</v>
      </c>
      <c r="E15" t="s">
        <v>200</v>
      </c>
      <c r="F15" t="s">
        <v>259</v>
      </c>
      <c r="G15" t="s">
        <v>147</v>
      </c>
      <c r="H15" t="s">
        <v>261</v>
      </c>
      <c r="L15" t="s">
        <v>440</v>
      </c>
    </row>
    <row r="16" spans="1:12" x14ac:dyDescent="0.3">
      <c r="A16" t="s">
        <v>22</v>
      </c>
      <c r="B16" t="s">
        <v>24</v>
      </c>
      <c r="C16" t="s">
        <v>141</v>
      </c>
      <c r="D16" t="s">
        <v>302</v>
      </c>
      <c r="E16" t="s">
        <v>200</v>
      </c>
      <c r="F16" t="s">
        <v>262</v>
      </c>
      <c r="G16" t="s">
        <v>148</v>
      </c>
      <c r="H16" t="s">
        <v>263</v>
      </c>
      <c r="L16" t="s">
        <v>440</v>
      </c>
    </row>
    <row r="17" spans="1:12" x14ac:dyDescent="0.3">
      <c r="A17" t="s">
        <v>39</v>
      </c>
      <c r="B17" t="s">
        <v>40</v>
      </c>
      <c r="C17" t="s">
        <v>165</v>
      </c>
      <c r="D17" t="s">
        <v>303</v>
      </c>
      <c r="E17" t="s">
        <v>208</v>
      </c>
      <c r="F17" t="s">
        <v>262</v>
      </c>
      <c r="G17" t="s">
        <v>149</v>
      </c>
      <c r="H17" t="s">
        <v>264</v>
      </c>
      <c r="L17" t="s">
        <v>441</v>
      </c>
    </row>
    <row r="18" spans="1:12" x14ac:dyDescent="0.3">
      <c r="A18" t="s">
        <v>39</v>
      </c>
      <c r="B18" t="s">
        <v>40</v>
      </c>
      <c r="C18" t="s">
        <v>166</v>
      </c>
      <c r="D18" t="s">
        <v>304</v>
      </c>
      <c r="E18" t="s">
        <v>208</v>
      </c>
      <c r="F18" t="s">
        <v>262</v>
      </c>
      <c r="G18" t="s">
        <v>150</v>
      </c>
      <c r="H18" t="s">
        <v>265</v>
      </c>
      <c r="L18" t="s">
        <v>441</v>
      </c>
    </row>
    <row r="19" spans="1:12" x14ac:dyDescent="0.3">
      <c r="A19" t="s">
        <v>39</v>
      </c>
      <c r="B19" t="s">
        <v>41</v>
      </c>
      <c r="C19" t="s">
        <v>167</v>
      </c>
      <c r="D19" t="s">
        <v>305</v>
      </c>
      <c r="E19" t="s">
        <v>208</v>
      </c>
      <c r="F19" t="s">
        <v>266</v>
      </c>
      <c r="G19" t="s">
        <v>151</v>
      </c>
      <c r="H19" t="s">
        <v>267</v>
      </c>
      <c r="L19" t="s">
        <v>442</v>
      </c>
    </row>
    <row r="20" spans="1:12" x14ac:dyDescent="0.3">
      <c r="A20" t="s">
        <v>39</v>
      </c>
      <c r="B20" t="s">
        <v>41</v>
      </c>
      <c r="C20" t="s">
        <v>168</v>
      </c>
      <c r="D20" t="s">
        <v>306</v>
      </c>
      <c r="E20" t="s">
        <v>208</v>
      </c>
      <c r="F20" t="s">
        <v>266</v>
      </c>
      <c r="G20" t="s">
        <v>152</v>
      </c>
      <c r="H20" t="s">
        <v>268</v>
      </c>
      <c r="L20" t="s">
        <v>442</v>
      </c>
    </row>
    <row r="21" spans="1:12" x14ac:dyDescent="0.3">
      <c r="A21" t="s">
        <v>15</v>
      </c>
      <c r="B21" t="s">
        <v>25</v>
      </c>
      <c r="C21" t="s">
        <v>142</v>
      </c>
      <c r="D21" t="s">
        <v>307</v>
      </c>
      <c r="E21" t="s">
        <v>202</v>
      </c>
      <c r="F21" t="s">
        <v>266</v>
      </c>
      <c r="G21" t="s">
        <v>16</v>
      </c>
      <c r="H21" t="s">
        <v>269</v>
      </c>
      <c r="L21" t="s">
        <v>443</v>
      </c>
    </row>
    <row r="22" spans="1:12" x14ac:dyDescent="0.3">
      <c r="A22" t="s">
        <v>15</v>
      </c>
      <c r="B22" t="s">
        <v>25</v>
      </c>
      <c r="C22" t="s">
        <v>143</v>
      </c>
      <c r="D22" t="s">
        <v>308</v>
      </c>
      <c r="E22" t="s">
        <v>202</v>
      </c>
      <c r="F22" t="s">
        <v>32</v>
      </c>
      <c r="G22" t="s">
        <v>153</v>
      </c>
      <c r="H22" t="s">
        <v>270</v>
      </c>
      <c r="L22" t="s">
        <v>443</v>
      </c>
    </row>
    <row r="23" spans="1:12" x14ac:dyDescent="0.3">
      <c r="A23" t="s">
        <v>15</v>
      </c>
      <c r="B23" t="s">
        <v>26</v>
      </c>
      <c r="C23" t="s">
        <v>144</v>
      </c>
      <c r="D23" t="s">
        <v>309</v>
      </c>
      <c r="E23" t="s">
        <v>202</v>
      </c>
      <c r="F23" t="s">
        <v>32</v>
      </c>
      <c r="G23" t="s">
        <v>154</v>
      </c>
      <c r="H23" t="s">
        <v>271</v>
      </c>
      <c r="L23" t="s">
        <v>444</v>
      </c>
    </row>
    <row r="24" spans="1:12" x14ac:dyDescent="0.3">
      <c r="A24" t="s">
        <v>15</v>
      </c>
      <c r="B24" t="s">
        <v>26</v>
      </c>
      <c r="C24" t="s">
        <v>145</v>
      </c>
      <c r="D24" t="s">
        <v>310</v>
      </c>
      <c r="E24" t="s">
        <v>202</v>
      </c>
      <c r="F24" t="s">
        <v>33</v>
      </c>
      <c r="G24" t="s">
        <v>155</v>
      </c>
      <c r="H24" t="s">
        <v>272</v>
      </c>
      <c r="L24" t="s">
        <v>444</v>
      </c>
    </row>
    <row r="25" spans="1:12" x14ac:dyDescent="0.3">
      <c r="A25" t="s">
        <v>15</v>
      </c>
      <c r="B25" t="s">
        <v>27</v>
      </c>
      <c r="C25" t="s">
        <v>146</v>
      </c>
      <c r="D25" t="s">
        <v>311</v>
      </c>
      <c r="E25" t="s">
        <v>202</v>
      </c>
      <c r="F25" t="s">
        <v>33</v>
      </c>
      <c r="G25" t="s">
        <v>156</v>
      </c>
      <c r="H25" t="s">
        <v>273</v>
      </c>
      <c r="L25" t="s">
        <v>445</v>
      </c>
    </row>
    <row r="26" spans="1:12" x14ac:dyDescent="0.3">
      <c r="A26" t="s">
        <v>15</v>
      </c>
      <c r="B26" t="s">
        <v>27</v>
      </c>
      <c r="C26" t="s">
        <v>147</v>
      </c>
      <c r="D26" t="s">
        <v>312</v>
      </c>
      <c r="E26" t="s">
        <v>202</v>
      </c>
      <c r="F26" t="s">
        <v>34</v>
      </c>
      <c r="G26" t="s">
        <v>157</v>
      </c>
      <c r="H26" t="s">
        <v>274</v>
      </c>
      <c r="L26" t="s">
        <v>445</v>
      </c>
    </row>
    <row r="27" spans="1:12" x14ac:dyDescent="0.3">
      <c r="A27" t="s">
        <v>19</v>
      </c>
      <c r="B27" t="s">
        <v>20</v>
      </c>
      <c r="C27" t="s">
        <v>132</v>
      </c>
      <c r="D27" t="s">
        <v>313</v>
      </c>
      <c r="E27" t="s">
        <v>198</v>
      </c>
      <c r="F27" t="s">
        <v>34</v>
      </c>
      <c r="G27" t="s">
        <v>158</v>
      </c>
      <c r="H27" t="s">
        <v>275</v>
      </c>
      <c r="L27" t="s">
        <v>427</v>
      </c>
    </row>
    <row r="28" spans="1:12" x14ac:dyDescent="0.3">
      <c r="A28" t="s">
        <v>19</v>
      </c>
      <c r="B28" t="s">
        <v>20</v>
      </c>
      <c r="C28" t="s">
        <v>133</v>
      </c>
      <c r="D28" t="s">
        <v>314</v>
      </c>
      <c r="E28" t="s">
        <v>198</v>
      </c>
      <c r="F28" t="s">
        <v>35</v>
      </c>
      <c r="G28" t="s">
        <v>159</v>
      </c>
      <c r="H28" t="s">
        <v>276</v>
      </c>
      <c r="L28" t="s">
        <v>427</v>
      </c>
    </row>
    <row r="29" spans="1:12" x14ac:dyDescent="0.3">
      <c r="A29" t="s">
        <v>19</v>
      </c>
      <c r="B29" t="s">
        <v>20</v>
      </c>
      <c r="C29" t="s">
        <v>134</v>
      </c>
      <c r="D29" t="s">
        <v>315</v>
      </c>
      <c r="E29" t="s">
        <v>198</v>
      </c>
      <c r="F29" t="s">
        <v>35</v>
      </c>
      <c r="G29" t="s">
        <v>160</v>
      </c>
      <c r="H29" t="s">
        <v>277</v>
      </c>
      <c r="L29" t="s">
        <v>427</v>
      </c>
    </row>
    <row r="30" spans="1:12" x14ac:dyDescent="0.3">
      <c r="A30" t="s">
        <v>19</v>
      </c>
      <c r="B30" t="s">
        <v>21</v>
      </c>
      <c r="C30" t="s">
        <v>135</v>
      </c>
      <c r="D30" t="s">
        <v>316</v>
      </c>
      <c r="E30" t="s">
        <v>198</v>
      </c>
      <c r="F30" t="s">
        <v>37</v>
      </c>
      <c r="G30" t="s">
        <v>161</v>
      </c>
      <c r="H30" t="s">
        <v>278</v>
      </c>
      <c r="L30" t="s">
        <v>446</v>
      </c>
    </row>
    <row r="31" spans="1:12" x14ac:dyDescent="0.3">
      <c r="A31" t="s">
        <v>19</v>
      </c>
      <c r="B31" t="s">
        <v>21</v>
      </c>
      <c r="C31" t="s">
        <v>136</v>
      </c>
      <c r="D31" t="s">
        <v>317</v>
      </c>
      <c r="E31" t="s">
        <v>198</v>
      </c>
      <c r="F31" t="s">
        <v>37</v>
      </c>
      <c r="G31" t="s">
        <v>162</v>
      </c>
      <c r="H31" t="s">
        <v>279</v>
      </c>
      <c r="L31" t="s">
        <v>446</v>
      </c>
    </row>
    <row r="32" spans="1:12" x14ac:dyDescent="0.3">
      <c r="A32" t="s">
        <v>14</v>
      </c>
      <c r="B32" t="s">
        <v>34</v>
      </c>
      <c r="C32" t="s">
        <v>157</v>
      </c>
      <c r="D32" t="s">
        <v>318</v>
      </c>
      <c r="E32" t="s">
        <v>204</v>
      </c>
      <c r="F32" t="s">
        <v>38</v>
      </c>
      <c r="G32" t="s">
        <v>163</v>
      </c>
      <c r="H32" t="s">
        <v>280</v>
      </c>
      <c r="L32" t="s">
        <v>425</v>
      </c>
    </row>
    <row r="33" spans="1:12" x14ac:dyDescent="0.3">
      <c r="A33" t="s">
        <v>14</v>
      </c>
      <c r="B33" t="s">
        <v>34</v>
      </c>
      <c r="C33" t="s">
        <v>158</v>
      </c>
      <c r="D33" t="s">
        <v>319</v>
      </c>
      <c r="E33" t="s">
        <v>204</v>
      </c>
      <c r="F33" t="s">
        <v>38</v>
      </c>
      <c r="G33" t="s">
        <v>164</v>
      </c>
      <c r="H33" t="s">
        <v>281</v>
      </c>
      <c r="L33" t="s">
        <v>425</v>
      </c>
    </row>
    <row r="34" spans="1:12" x14ac:dyDescent="0.3">
      <c r="A34" t="s">
        <v>14</v>
      </c>
      <c r="B34" t="s">
        <v>35</v>
      </c>
      <c r="C34" t="s">
        <v>159</v>
      </c>
      <c r="D34" t="s">
        <v>320</v>
      </c>
      <c r="E34" t="s">
        <v>204</v>
      </c>
      <c r="F34" t="s">
        <v>40</v>
      </c>
      <c r="G34" t="s">
        <v>165</v>
      </c>
      <c r="H34" t="s">
        <v>282</v>
      </c>
      <c r="L34" t="s">
        <v>447</v>
      </c>
    </row>
    <row r="35" spans="1:12" x14ac:dyDescent="0.3">
      <c r="A35" t="s">
        <v>14</v>
      </c>
      <c r="B35" t="s">
        <v>35</v>
      </c>
      <c r="C35" t="s">
        <v>160</v>
      </c>
      <c r="D35" t="s">
        <v>321</v>
      </c>
      <c r="E35" t="s">
        <v>204</v>
      </c>
      <c r="F35" t="s">
        <v>40</v>
      </c>
      <c r="G35" t="s">
        <v>166</v>
      </c>
      <c r="H35" t="s">
        <v>283</v>
      </c>
      <c r="L35" t="s">
        <v>447</v>
      </c>
    </row>
    <row r="36" spans="1:12" x14ac:dyDescent="0.3">
      <c r="A36" t="s">
        <v>36</v>
      </c>
      <c r="B36" t="s">
        <v>37</v>
      </c>
      <c r="C36" t="s">
        <v>161</v>
      </c>
      <c r="D36" t="s">
        <v>322</v>
      </c>
      <c r="E36" t="s">
        <v>206</v>
      </c>
      <c r="F36" t="s">
        <v>41</v>
      </c>
      <c r="G36" t="s">
        <v>167</v>
      </c>
      <c r="H36" t="s">
        <v>284</v>
      </c>
      <c r="L36" t="s">
        <v>436</v>
      </c>
    </row>
    <row r="37" spans="1:12" x14ac:dyDescent="0.3">
      <c r="A37" t="s">
        <v>36</v>
      </c>
      <c r="B37" t="s">
        <v>37</v>
      </c>
      <c r="C37" t="s">
        <v>162</v>
      </c>
      <c r="D37" t="s">
        <v>323</v>
      </c>
      <c r="E37" t="s">
        <v>206</v>
      </c>
      <c r="F37" t="s">
        <v>41</v>
      </c>
      <c r="G37" t="s">
        <v>168</v>
      </c>
      <c r="H37" t="s">
        <v>285</v>
      </c>
      <c r="L37" t="s">
        <v>436</v>
      </c>
    </row>
    <row r="38" spans="1:12" x14ac:dyDescent="0.3">
      <c r="A38" t="s">
        <v>36</v>
      </c>
      <c r="B38" t="s">
        <v>38</v>
      </c>
      <c r="C38" t="s">
        <v>163</v>
      </c>
      <c r="D38" t="s">
        <v>324</v>
      </c>
      <c r="E38" t="s">
        <v>206</v>
      </c>
      <c r="L38" t="s">
        <v>448</v>
      </c>
    </row>
    <row r="39" spans="1:12" x14ac:dyDescent="0.3">
      <c r="A39" t="s">
        <v>36</v>
      </c>
      <c r="B39" t="s">
        <v>38</v>
      </c>
      <c r="C39" t="s">
        <v>164</v>
      </c>
      <c r="D39" t="s">
        <v>325</v>
      </c>
      <c r="E39" t="s">
        <v>206</v>
      </c>
      <c r="L39" t="s">
        <v>448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D8781-2000-4CE6-BA7E-764C3327364E}">
  <dimension ref="A1"/>
  <sheetViews>
    <sheetView workbookViewId="0"/>
  </sheetViews>
  <sheetFormatPr defaultRowHeight="14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表格主体</vt:lpstr>
      <vt:lpstr>评分表</vt:lpstr>
      <vt:lpstr>SKILLMAP</vt:lpstr>
      <vt:lpstr>阈值表</vt:lpstr>
      <vt:lpstr>data</vt:lpstr>
      <vt:lpstr>DATA1</vt:lpstr>
      <vt:lpstr>Sheet1</vt:lpstr>
      <vt:lpstr>一级列表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huew</dc:creator>
  <cp:lastModifiedBy>yu huew</cp:lastModifiedBy>
  <dcterms:created xsi:type="dcterms:W3CDTF">2026-02-20T20:02:33Z</dcterms:created>
  <dcterms:modified xsi:type="dcterms:W3CDTF">2026-03-05T04:49:22Z</dcterms:modified>
</cp:coreProperties>
</file>